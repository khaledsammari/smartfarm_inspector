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Definitions" sheetId="2" state="visible" r:id="rId3"/>
    <sheet name="Parse trials" sheetId="3" state="visible" r:id="rId4"/>
    <sheet name="Mission runs" sheetId="4" state="visible" r:id="rId5"/>
    <sheet name="Detection" sheetId="5" state="visible" r:id="rId6"/>
    <sheet name="Limitations" sheetId="6" state="visible" r:id="rId7"/>
    <sheet name="Raw data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<sst xmlns="http://schemas.openxmlformats.org/spreadsheetml/2006/main" count="265" uniqueCount="222">
  <si>
    <t xml:space="preserve">KPI Report — Smart Farm Asset Inspector</t>
  </si>
  <si>
    <t xml:space="preserve">KPI</t>
  </si>
  <si>
    <t xml:space="preserve">Value</t>
  </si>
  <si>
    <t xml:space="preserve">Basis</t>
  </si>
  <si>
    <t xml:space="preserve">Sheet</t>
  </si>
  <si>
    <t xml:space="preserve">Mission completion rate</t>
  </si>
  <si>
    <t xml:space="preserve">completed missions / missions attempted</t>
  </si>
  <si>
    <t xml:space="preserve">Mission runs</t>
  </si>
  <si>
    <t xml:space="preserve">Waypoints reached</t>
  </si>
  <si>
    <t xml:space="preserve">goals REACHED / goals planned</t>
  </si>
  <si>
    <t xml:space="preserve">Human intervention rate</t>
  </si>
  <si>
    <t xml:space="preserve">missions needing operator action / attempted</t>
  </si>
  <si>
    <t xml:space="preserve">First-pass parse validity</t>
  </si>
  <si>
    <t xml:space="preserve">parses valid on first attempt / live requests</t>
  </si>
  <si>
    <t xml:space="preserve">Parse trials</t>
  </si>
  <si>
    <t xml:space="preserve">LLM repair rounds needed</t>
  </si>
  <si>
    <t xml:space="preserve">count across all live requests</t>
  </si>
  <si>
    <t xml:space="preserve">Mean plan latency (s)</t>
  </si>
  <si>
    <t xml:space="preserve">request published to task generated</t>
  </si>
  <si>
    <t xml:space="preserve">Safety interventions (auto-recovered)</t>
  </si>
  <si>
    <t xml:space="preserve">obstacle_avoidance events, all recovered</t>
  </si>
  <si>
    <t xml:space="preserve">Images captured</t>
  </si>
  <si>
    <t xml:space="preserve">written to media/realsense/</t>
  </si>
  <si>
    <t xml:space="preserve">Detection</t>
  </si>
  <si>
    <t xml:space="preserve">Images judged</t>
  </si>
  <si>
    <t xml:space="preserve">excludes frames with no vegetation</t>
  </si>
  <si>
    <t xml:space="preserve">Anomalous clusters</t>
  </si>
  <si>
    <t xml:space="preserve">flagged clusters / clusters detected</t>
  </si>
  <si>
    <t xml:space="preserve">Detection FP rate (per plant)</t>
  </si>
  <si>
    <t xml:space="preserve">NOT MEASURED</t>
  </si>
  <si>
    <t xml:space="preserve">see Limitations sheet</t>
  </si>
  <si>
    <t xml:space="preserve">Limitations</t>
  </si>
  <si>
    <t xml:space="preserve">Detection FN rate (per plant)</t>
  </si>
  <si>
    <t xml:space="preserve">Measured counts (inputs to the formulas above)</t>
  </si>
  <si>
    <t xml:space="preserve">Missions completed</t>
  </si>
  <si>
    <t xml:space="preserve">Missions attempted</t>
  </si>
  <si>
    <t xml:space="preserve">Goals reached</t>
  </si>
  <si>
    <t xml:space="preserve">Goals planned</t>
  </si>
  <si>
    <t xml:space="preserve">Missions needing human intervention</t>
  </si>
  <si>
    <t xml:space="preserve">Parses valid first-pass</t>
  </si>
  <si>
    <t xml:space="preserve">Live LLM requests</t>
  </si>
  <si>
    <t xml:space="preserve">Repair rounds needed</t>
  </si>
  <si>
    <t xml:space="preserve">Frames with no vegetation</t>
  </si>
  <si>
    <t xml:space="preserve">Clusters detected</t>
  </si>
  <si>
    <t xml:space="preserve">Clusters flagged anomalous</t>
  </si>
  <si>
    <t xml:space="preserve">Operational definitions</t>
  </si>
  <si>
    <t xml:space="preserve">What counts as success, and what counts as a human intervention.</t>
  </si>
  <si>
    <t xml:space="preserve">Term</t>
  </si>
  <si>
    <t xml:space="preserve">Definition</t>
  </si>
  <si>
    <t xml:space="preserve">Mission attempted</t>
  </si>
  <si>
    <t xml:space="preserve">A natural-language request that produced a validated task published to /mission_dataa and launched.</t>
  </si>
  <si>
    <t xml:space="preserve">Mission completed</t>
  </si>
  <si>
    <t xml:space="preserve">mission_manager reported '***** Mission completed! *****' with every goal REACHED and the robot returned to base.</t>
  </si>
  <si>
    <t xml:space="preserve">Human intervention</t>
  </si>
  <si>
    <t xml:space="preserve">Any operator action required for the mission to proceed or conclude: manual abort, manual re-plan, answering a clarification, or setting an initial pose. Autonomous obstacle avoidance is NOT an intervention — no operator was involved.</t>
  </si>
  <si>
    <t xml:space="preserve">Safety intervention</t>
  </si>
  <si>
    <t xml:space="preserve">An obstacle_avoidance event that paused the mission. Counted separately from human intervention because it is autonomous.</t>
  </si>
  <si>
    <t xml:space="preserve">Parse valid first-pass</t>
  </si>
  <si>
    <t xml:space="preserve">The LLM's first response parsed as JSON, resolved to a real field, and produced a task that passed the validator with no repair round.</t>
  </si>
  <si>
    <t xml:space="preserve">Repair round</t>
  </si>
  <si>
    <t xml:space="preserve">A second LLM call triggered by unparseable output or a validator rejection.</t>
  </si>
  <si>
    <t xml:space="preserve">Plan latency</t>
  </si>
  <si>
    <t xml:space="preserve">Elapsed time from the request being published on /farm/inspection_request to the node logging the generated task.</t>
  </si>
  <si>
    <t xml:space="preserve">Image judged</t>
  </si>
  <si>
    <t xml:space="preserve">A captured frame containing enough vegetation to classify. Frames that are mostly soil or structure are reported NO_PLANTS and excluded, rather than being counted as healthy.</t>
  </si>
  <si>
    <t xml:space="preserve">Cluster</t>
  </si>
  <si>
    <t xml:space="preserve">A connected region of vegetation pixels above the minimum size. Roughly corresponds to one plant, but not guaranteed — two adjacent plants may merge.</t>
  </si>
  <si>
    <t xml:space="preserve">Cluster anomalous</t>
  </si>
  <si>
    <t xml:space="preserve">Median hue below the healthy-green threshold, indicating chlorosis.</t>
  </si>
  <si>
    <t xml:space="preserve">Live LLM parse trials</t>
  </si>
  <si>
    <t xml:space="preserve">Claude Sonnet via subscription OAuth (Claude Agent SDK). Run 2026-09-06. All requests issued verbatim as shown.</t>
  </si>
  <si>
    <t xml:space="preserve">#</t>
  </si>
  <si>
    <t xml:space="preserve">Request</t>
  </si>
  <si>
    <t xml:space="preserve">Fields returned</t>
  </si>
  <si>
    <t xml:space="preserve">Inspection type</t>
  </si>
  <si>
    <t xml:space="preserve">Urgency</t>
  </si>
  <si>
    <t xml:space="preserve">Conf.</t>
  </si>
  <si>
    <t xml:space="preserve">First-pass valid</t>
  </si>
  <si>
    <t xml:space="preserve">Outcome</t>
  </si>
  <si>
    <t xml:space="preserve">check the north field for powdery mildew on tomatoes</t>
  </si>
  <si>
    <t xml:space="preserve">north_field</t>
  </si>
  <si>
    <t xml:space="preserve">disease_detection</t>
  </si>
  <si>
    <t xml:space="preserve">routine</t>
  </si>
  <si>
    <t xml:space="preserve">YES</t>
  </si>
  <si>
    <t xml:space="preserve">Executed — 15/15 goals reached</t>
  </si>
  <si>
    <t xml:space="preserve">the tomatoes look bad, go now</t>
  </si>
  <si>
    <t xml:space="preserve">quick_scan</t>
  </si>
  <si>
    <t xml:space="preserve">urgent</t>
  </si>
  <si>
    <t xml:space="preserve">Field inferred from crop; urgency detected</t>
  </si>
  <si>
    <t xml:space="preserve">check the west orchard</t>
  </si>
  <si>
    <t xml:space="preserve">(none)</t>
  </si>
  <si>
    <t xml:space="preserve">—</t>
  </si>
  <si>
    <t xml:space="preserve">REFUSED — field not on this farm</t>
  </si>
  <si>
    <t xml:space="preserve">check everything</t>
  </si>
  <si>
    <t xml:space="preserve">all three</t>
  </si>
  <si>
    <t xml:space="preserve">REJECTED by validator — ENERGY_MARGIN</t>
  </si>
  <si>
    <t xml:space="preserve">look at rows 1 and 2 in sector 2 for weeds</t>
  </si>
  <si>
    <t xml:space="preserve">central_field</t>
  </si>
  <si>
    <t xml:space="preserve">weed_assessment</t>
  </si>
  <si>
    <t xml:space="preserve">'sector 2' resolved via alias table</t>
  </si>
  <si>
    <t xml:space="preserve">is the irrigation working in the south field</t>
  </si>
  <si>
    <t xml:space="preserve">south_field</t>
  </si>
  <si>
    <t xml:space="preserve">irrigation_check</t>
  </si>
  <si>
    <t xml:space="preserve">Inspection type correctly mapped</t>
  </si>
  <si>
    <t xml:space="preserve">quick look at the corn</t>
  </si>
  <si>
    <t xml:space="preserve">Field inferred from crop</t>
  </si>
  <si>
    <t xml:space="preserve">Totals</t>
  </si>
  <si>
    <t xml:space="preserve">First-pass validity</t>
  </si>
  <si>
    <t xml:space="preserve">Notes</t>
  </si>
  <si>
    <t xml:space="preserve">Confidence tracks difficulty: 0.95 for an explicit request, 0.90 for well-specified ones, 0.75 for a vague symptom report, 0.60 for 'check everything'. This is unvalidated calibration — we did not test whether low confidence predicts error.</t>
  </si>
  <si>
    <t xml:space="preserve">Trial 3 produced a model-generated message grounded in the actual farm listing, not a hardcoded fallback: "'West orchard' is not a field on Demo Farm North. Did you mean north_field, central_field, or south_field?" The model could have guessed north_field from 'west'. It declined.</t>
  </si>
  <si>
    <t xml:space="preserve">Trial 4 is the validator catching what the LLM was willing to propose: 39 waypoints at 97% of usable energy. The 90% margin threshold was tightened from a warning to an error BECAUSE of this result.</t>
  </si>
  <si>
    <t xml:space="preserve">Trials were run once each. Repeat-stability across identical phrasings was not measured.</t>
  </si>
  <si>
    <t xml:space="preserve">Mission execution trials</t>
  </si>
  <si>
    <t xml:space="preserve">Gazebo Classic + ROS 2 Humble, Unitree Go2 simulated. Raw log: 05_kpi/raw/</t>
  </si>
  <si>
    <t xml:space="preserve">Task ID</t>
  </si>
  <si>
    <t xml:space="preserve">Waypoints</t>
  </si>
  <si>
    <t xml:space="preserve">Distance (m)</t>
  </si>
  <si>
    <t xml:space="preserve">Energy est. (Wh)</t>
  </si>
  <si>
    <t xml:space="preserve">Duration est. (min)</t>
  </si>
  <si>
    <t xml:space="preserve">Safety interventions</t>
  </si>
  <si>
    <t xml:space="preserve">Human interventions</t>
  </si>
  <si>
    <t xml:space="preserve">Result</t>
  </si>
  <si>
    <t xml:space="preserve">7b80897f</t>
  </si>
  <si>
    <t xml:space="preserve">COMPLETED</t>
  </si>
  <si>
    <t xml:space="preserve">Test conditions</t>
  </si>
  <si>
    <t xml:space="preserve">Environment</t>
  </si>
  <si>
    <t xml:space="preserve">Simulation only — Gazebo Classic, ROS 2 Humble. No hardware trial.</t>
  </si>
  <si>
    <t xml:space="preserve">World</t>
  </si>
  <si>
    <t xml:space="preserve">Simulator default obstacle layout with 61 crop plants added at known health states. Parked vehicles from the stock world remain present.</t>
  </si>
  <si>
    <t xml:space="preserve">Localization</t>
  </si>
  <si>
    <t xml:space="preserve">AMCL against the car_tree occupancy map.</t>
  </si>
  <si>
    <t xml:space="preserve">Scenario</t>
  </si>
  <si>
    <t xml:space="preserve">Two crop rows (north_1, north_2), 26 m each, capture every 4 m.</t>
  </si>
  <si>
    <t xml:space="preserve">Variability between trials</t>
  </si>
  <si>
    <t xml:space="preserve">None — a single mission was executed. This is the weakest part of the dataset and is declared as such.</t>
  </si>
  <si>
    <t xml:space="preserve">Number of runs</t>
  </si>
  <si>
    <t xml:space="preserve">1 executed mission; 7 live parse trials.</t>
  </si>
  <si>
    <t xml:space="preserve">Safety layer behaviour</t>
  </si>
  <si>
    <t xml:space="preserve">obstacle_avoidance interrupted the mission 9 times. Each event: mission_manager paused, lateral avoidance executed and returned 'Lateral avoidance completed', the mission re-planned and resumed. No operator input at any point. The LLM's plan was overridden 9 times and the mission still reached 15/15 goals.</t>
  </si>
  <si>
    <t xml:space="preserve">Vision stage results</t>
  </si>
  <si>
    <t xml:space="preserve">HSV hue-cluster detector. No trained model. Raw output: 05_kpi/raw/plant_detections.json</t>
  </si>
  <si>
    <t xml:space="preserve">Metric</t>
  </si>
  <si>
    <t xml:space="preserve">Frames flagged ANOMALY</t>
  </si>
  <si>
    <t xml:space="preserve">Frames flagged HEALTHY</t>
  </si>
  <si>
    <t xml:space="preserve">Mean anomalous area fraction</t>
  </si>
  <si>
    <t xml:space="preserve">Cluster anomaly rate</t>
  </si>
  <si>
    <t xml:space="preserve">Hue separation (the core result)</t>
  </si>
  <si>
    <t xml:space="preserve">Class</t>
  </si>
  <si>
    <t xml:space="preserve">Median hue</t>
  </si>
  <si>
    <t xml:space="preserve">Min</t>
  </si>
  <si>
    <t xml:space="preserve">Max</t>
  </si>
  <si>
    <t xml:space="preserve">Clusters</t>
  </si>
  <si>
    <t xml:space="preserve">Anomalous</t>
  </si>
  <si>
    <t xml:space="preserve">Healthy</t>
  </si>
  <si>
    <t xml:space="preserve">The two classes do not overlap: the highest anomalous hue (77.6) is well below the lowest healthy hue (104.5). Separation is clean, which is why no trained model was needed.</t>
  </si>
  <si>
    <t xml:space="preserve">Aggregate agreement with ground truth</t>
  </si>
  <si>
    <t xml:space="preserve">Source</t>
  </si>
  <si>
    <t xml:space="preserve">Unhealthy fraction</t>
  </si>
  <si>
    <t xml:space="preserve">World ground truth (17 of 61 plants)</t>
  </si>
  <si>
    <t xml:space="preserve">Detector (45 of 170 clusters)</t>
  </si>
  <si>
    <t xml:space="preserve">Difference</t>
  </si>
  <si>
    <t xml:space="preserve">This is aggregate agreement, NOT a measured false positive/negative rate. Clusters are not plants — two adjacent plants can merge into one cluster, and one plant seen from two waypoints appears twice. The close match is encouraging but is not evidence of per-plant accuracy. See the Limitations sheet.</t>
  </si>
  <si>
    <t xml:space="preserve">Detector parameters</t>
  </si>
  <si>
    <t xml:space="preserve">Parameter</t>
  </si>
  <si>
    <t xml:space="preserve">Meaning</t>
  </si>
  <si>
    <t xml:space="preserve">sat_min</t>
  </si>
  <si>
    <t xml:space="preserve">Minimum saturation for a pixel to count as vegetation</t>
  </si>
  <si>
    <t xml:space="preserve">hue_min</t>
  </si>
  <si>
    <t xml:space="preserve">Lower hue bound for vegetation</t>
  </si>
  <si>
    <t xml:space="preserve">hue_max</t>
  </si>
  <si>
    <t xml:space="preserve">Upper hue bound for vegetation</t>
  </si>
  <si>
    <t xml:space="preserve">hue_green_min</t>
  </si>
  <si>
    <t xml:space="preserve">Median hue above this is healthy green</t>
  </si>
  <si>
    <t xml:space="preserve">min_cluster_px</t>
  </si>
  <si>
    <t xml:space="preserve">Smallest region treated as a plant</t>
  </si>
  <si>
    <t xml:space="preserve">open_kernel</t>
  </si>
  <si>
    <t xml:space="preserve">Morphological opening kernel, removes speckle</t>
  </si>
  <si>
    <t xml:space="preserve">Limitations and unmeasured KPIs</t>
  </si>
  <si>
    <t xml:space="preserve">Declared deliberately. The rules state that declaring an unmeasured KPI costs nothing and leaving it implicit does.</t>
  </si>
  <si>
    <t xml:space="preserve">KPI / claim</t>
  </si>
  <si>
    <t xml:space="preserve">Status</t>
  </si>
  <si>
    <t xml:space="preserve">Why</t>
  </si>
  <si>
    <t xml:space="preserve">What would be needed</t>
  </si>
  <si>
    <t xml:space="preserve">Detection false positive rate</t>
  </si>
  <si>
    <t xml:space="preserve">Captured images are not associated with individual plants. devices_manager writes timestamped filenames and does not preserve the config_json attached to each take_picture action, so a cluster in a frame cannot be matched to a plant in the ground-truth file.</t>
  </si>
  <si>
    <t xml:space="preserve">Either preserve per-image metadata through devices_manager, or match capture order to waypoint order and use plant positions within camera range of each waypoint.</t>
  </si>
  <si>
    <t xml:space="preserve">Detection false negative rate</t>
  </si>
  <si>
    <t xml:space="preserve">Same cause.</t>
  </si>
  <si>
    <t xml:space="preserve">Same.</t>
  </si>
  <si>
    <t xml:space="preserve">Disease identification</t>
  </si>
  <si>
    <t xml:space="preserve">NOT ATTEMPTED</t>
  </si>
  <si>
    <t xml:space="preserve">The detector identifies chlorosis (yellowing), not a named pathogen. Drought stress, nitrogen deficiency and infection produce similar colour signatures.</t>
  </si>
  <si>
    <t xml:space="preserve">A trained classifier on real field imagery, or a multispectral sensor.</t>
  </si>
  <si>
    <t xml:space="preserve">n = 1</t>
  </si>
  <si>
    <t xml:space="preserve">One mission was executed end to end. A single sample is not a rate.</t>
  </si>
  <si>
    <t xml:space="preserve">Around ten runs with varied requests and starting conditions.</t>
  </si>
  <si>
    <t xml:space="preserve">Parse stability</t>
  </si>
  <si>
    <t xml:space="preserve">Each of the 7 requests was run once. Whether identical phrasings produce identical parses was not tested.</t>
  </si>
  <si>
    <t xml:space="preserve">Three repeats per phrasing.</t>
  </si>
  <si>
    <t xml:space="preserve">Energy model accuracy</t>
  </si>
  <si>
    <t xml:space="preserve">UNCALIBRATED</t>
  </si>
  <si>
    <t xml:space="preserve">0.35 Wh/m is an estimate, never checked against Go2 telemetry. The validator therefore rejects any plan above 90% of budget rather than trusting a tight fit.</t>
  </si>
  <si>
    <t xml:space="preserve">Battery logging across several real missions.</t>
  </si>
  <si>
    <t xml:space="preserve">Hardware behaviour</t>
  </si>
  <si>
    <t xml:space="preserve">NOT TESTED</t>
  </si>
  <si>
    <t xml:space="preserve">Simulation only.</t>
  </si>
  <si>
    <t xml:space="preserve">A field trial.</t>
  </si>
  <si>
    <t xml:space="preserve">Image capture reliability</t>
  </si>
  <si>
    <t xml:space="preserve">PARTIAL</t>
  </si>
  <si>
    <t xml:space="preserve">In the first recorded mission, take_picture failed at all 14 waypoints: devices_manager bundles a cloud upload into the action and fails the whole action when no token is configured (Error Code 100). Capture was subsequently fixed and 42 images were produced.</t>
  </si>
  <si>
    <t xml:space="preserve">Decouple local capture from cloud upload in devices_manager.</t>
  </si>
  <si>
    <t xml:space="preserve">Raw data index</t>
  </si>
  <si>
    <t xml:space="preserve">Per-trial data retained. Nothing in this report is recalled from memory.</t>
  </si>
  <si>
    <t xml:space="preserve">File</t>
  </si>
  <si>
    <t xml:space="preserve">Contents</t>
  </si>
  <si>
    <t xml:space="preserve">05_kpi/raw/plant_detections.json</t>
  </si>
  <si>
    <t xml:space="preserve">Full detector output: 42 images, 170 clusters, per-cluster bounding box, area, median hue and verdict.</t>
  </si>
  <si>
    <t xml:space="preserve">~/.ros/smartfarm_logs/{task_id}.json</t>
  </si>
  <si>
    <t xml:space="preserve">One file per mission: original request, LLM parse, confidence, attempt count, token usage, full waypoint list, route and energy estimate. Copy these into 05_kpi/raw/ before submitting.</t>
  </si>
  <si>
    <t xml:space="preserve">~/.ros/media/realsense/</t>
  </si>
  <si>
    <t xml:space="preserve">Captured imagery, 42 PNG frames. Not committed to Git (size); available on request.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</si>
</sst>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"/>
    <numFmt numFmtId="167" formatCode="0.00"/>
    <numFmt numFmtId="168" formatCode="0.0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30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A5C00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304F"/>
        <bgColor rgb="FF333333"/>
      </patternFill>
    </fill>
    <fill>
      <patternFill patternType="solid">
        <fgColor rgb="FFFDF4E0"/>
        <bgColor rgb="FFFDEAEA"/>
      </patternFill>
    </fill>
    <fill>
      <patternFill patternType="solid">
        <fgColor rgb="FFEAF5EC"/>
        <bgColor rgb="FFFDF4E0"/>
      </patternFill>
    </fill>
    <fill>
      <patternFill patternType="solid">
        <fgColor rgb="FFFDEAEA"/>
        <bgColor rgb="FFFDF4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DF4E0"/>
      <rgbColor rgb="FFEAF5EC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430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21" activeCellId="0" sqref="G2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46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4" t="s">
        <v>5</v>
      </c>
      <c r="B4" s="5" t="n">
        <f aca="false">B18/B19</f>
        <v>1</v>
      </c>
      <c r="C4" s="6" t="s">
        <v>6</v>
      </c>
      <c r="D4" s="7" t="s">
        <v>7</v>
      </c>
    </row>
    <row r="5" customFormat="false" ht="15" hidden="false" customHeight="true" outlineLevel="0" collapsed="false">
      <c r="A5" s="4" t="s">
        <v>8</v>
      </c>
      <c r="B5" s="5" t="n">
        <f aca="false">B20/B21</f>
        <v>1</v>
      </c>
      <c r="C5" s="6" t="s">
        <v>9</v>
      </c>
      <c r="D5" s="7" t="s">
        <v>7</v>
      </c>
    </row>
    <row r="6" customFormat="false" ht="15" hidden="false" customHeight="true" outlineLevel="0" collapsed="false">
      <c r="A6" s="4" t="s">
        <v>10</v>
      </c>
      <c r="B6" s="5" t="n">
        <f aca="false">B22/B19</f>
        <v>0</v>
      </c>
      <c r="C6" s="6" t="s">
        <v>11</v>
      </c>
      <c r="D6" s="7" t="s">
        <v>7</v>
      </c>
    </row>
    <row r="7" customFormat="false" ht="15" hidden="false" customHeight="true" outlineLevel="0" collapsed="false">
      <c r="A7" s="4" t="s">
        <v>12</v>
      </c>
      <c r="B7" s="5" t="n">
        <f aca="false">B25/B26</f>
        <v>1</v>
      </c>
      <c r="C7" s="6" t="s">
        <v>13</v>
      </c>
      <c r="D7" s="7" t="s">
        <v>14</v>
      </c>
    </row>
    <row r="8" customFormat="false" ht="15" hidden="false" customHeight="true" outlineLevel="0" collapsed="false">
      <c r="A8" s="4" t="s">
        <v>15</v>
      </c>
      <c r="B8" s="8" t="n">
        <f aca="false">B27</f>
        <v>0</v>
      </c>
      <c r="C8" s="6" t="s">
        <v>16</v>
      </c>
      <c r="D8" s="7" t="s">
        <v>14</v>
      </c>
    </row>
    <row r="9" customFormat="false" ht="15" hidden="false" customHeight="true" outlineLevel="0" collapsed="false">
      <c r="A9" s="4" t="s">
        <v>17</v>
      </c>
      <c r="B9" s="8" t="n">
        <f aca="false">B28</f>
        <v>3.7</v>
      </c>
      <c r="C9" s="6" t="s">
        <v>18</v>
      </c>
      <c r="D9" s="7" t="s">
        <v>14</v>
      </c>
    </row>
    <row r="10" customFormat="false" ht="15" hidden="false" customHeight="true" outlineLevel="0" collapsed="false">
      <c r="A10" s="4" t="s">
        <v>19</v>
      </c>
      <c r="B10" s="8" t="n">
        <f aca="false">B23</f>
        <v>9</v>
      </c>
      <c r="C10" s="6" t="s">
        <v>20</v>
      </c>
      <c r="D10" s="7" t="s">
        <v>7</v>
      </c>
    </row>
    <row r="11" customFormat="false" ht="15" hidden="false" customHeight="true" outlineLevel="0" collapsed="false">
      <c r="A11" s="4" t="s">
        <v>21</v>
      </c>
      <c r="B11" s="8" t="n">
        <f aca="false">B30</f>
        <v>42</v>
      </c>
      <c r="C11" s="6" t="s">
        <v>22</v>
      </c>
      <c r="D11" s="7" t="s">
        <v>23</v>
      </c>
    </row>
    <row r="12" customFormat="false" ht="15" hidden="false" customHeight="true" outlineLevel="0" collapsed="false">
      <c r="A12" s="4" t="s">
        <v>24</v>
      </c>
      <c r="B12" s="8" t="n">
        <f aca="false">B31</f>
        <v>36</v>
      </c>
      <c r="C12" s="6" t="s">
        <v>25</v>
      </c>
      <c r="D12" s="7" t="s">
        <v>23</v>
      </c>
    </row>
    <row r="13" customFormat="false" ht="15" hidden="false" customHeight="true" outlineLevel="0" collapsed="false">
      <c r="A13" s="4" t="s">
        <v>26</v>
      </c>
      <c r="B13" s="5" t="n">
        <f aca="false">B34/B33</f>
        <v>0.264705882352941</v>
      </c>
      <c r="C13" s="6" t="s">
        <v>27</v>
      </c>
      <c r="D13" s="7" t="s">
        <v>23</v>
      </c>
    </row>
    <row r="14" customFormat="false" ht="15" hidden="false" customHeight="true" outlineLevel="0" collapsed="false">
      <c r="A14" s="4" t="s">
        <v>28</v>
      </c>
      <c r="B14" s="9" t="s">
        <v>29</v>
      </c>
      <c r="C14" s="6" t="s">
        <v>30</v>
      </c>
      <c r="D14" s="7" t="s">
        <v>31</v>
      </c>
    </row>
    <row r="15" customFormat="false" ht="15" hidden="false" customHeight="true" outlineLevel="0" collapsed="false">
      <c r="A15" s="4" t="s">
        <v>32</v>
      </c>
      <c r="B15" s="9" t="s">
        <v>29</v>
      </c>
      <c r="C15" s="6" t="s">
        <v>30</v>
      </c>
      <c r="D15" s="7" t="s">
        <v>31</v>
      </c>
    </row>
    <row r="17" customFormat="false" ht="15" hidden="false" customHeight="true" outlineLevel="0" collapsed="false">
      <c r="A17" s="10" t="s">
        <v>33</v>
      </c>
    </row>
    <row r="18" customFormat="false" ht="15" hidden="false" customHeight="true" outlineLevel="0" collapsed="false">
      <c r="A18" s="11" t="s">
        <v>34</v>
      </c>
      <c r="B18" s="10" t="n">
        <v>1</v>
      </c>
    </row>
    <row r="19" customFormat="false" ht="15" hidden="false" customHeight="true" outlineLevel="0" collapsed="false">
      <c r="A19" s="11" t="s">
        <v>35</v>
      </c>
      <c r="B19" s="10" t="n">
        <v>1</v>
      </c>
    </row>
    <row r="20" customFormat="false" ht="15" hidden="false" customHeight="true" outlineLevel="0" collapsed="false">
      <c r="A20" s="11" t="s">
        <v>36</v>
      </c>
      <c r="B20" s="10" t="n">
        <v>15</v>
      </c>
    </row>
    <row r="21" customFormat="false" ht="15" hidden="false" customHeight="true" outlineLevel="0" collapsed="false">
      <c r="A21" s="11" t="s">
        <v>37</v>
      </c>
      <c r="B21" s="10" t="n">
        <v>15</v>
      </c>
    </row>
    <row r="22" customFormat="false" ht="15" hidden="false" customHeight="true" outlineLevel="0" collapsed="false">
      <c r="A22" s="11" t="s">
        <v>38</v>
      </c>
      <c r="B22" s="10" t="n">
        <v>0</v>
      </c>
    </row>
    <row r="23" customFormat="false" ht="15" hidden="false" customHeight="true" outlineLevel="0" collapsed="false">
      <c r="A23" s="11" t="s">
        <v>19</v>
      </c>
      <c r="B23" s="10" t="n">
        <v>9</v>
      </c>
    </row>
    <row r="25" customFormat="false" ht="15" hidden="false" customHeight="true" outlineLevel="0" collapsed="false">
      <c r="A25" s="11" t="s">
        <v>39</v>
      </c>
      <c r="B25" s="10" t="n">
        <v>7</v>
      </c>
    </row>
    <row r="26" customFormat="false" ht="15" hidden="false" customHeight="true" outlineLevel="0" collapsed="false">
      <c r="A26" s="11" t="s">
        <v>40</v>
      </c>
      <c r="B26" s="10" t="n">
        <v>7</v>
      </c>
    </row>
    <row r="27" customFormat="false" ht="15" hidden="false" customHeight="true" outlineLevel="0" collapsed="false">
      <c r="A27" s="11" t="s">
        <v>41</v>
      </c>
      <c r="B27" s="10" t="n">
        <v>0</v>
      </c>
    </row>
    <row r="28" customFormat="false" ht="15" hidden="false" customHeight="true" outlineLevel="0" collapsed="false">
      <c r="A28" s="11" t="s">
        <v>17</v>
      </c>
      <c r="B28" s="10" t="n">
        <v>3.7</v>
      </c>
    </row>
    <row r="30" customFormat="false" ht="15" hidden="false" customHeight="true" outlineLevel="0" collapsed="false">
      <c r="A30" s="11" t="s">
        <v>21</v>
      </c>
      <c r="B30" s="10" t="n">
        <v>42</v>
      </c>
    </row>
    <row r="31" customFormat="false" ht="15" hidden="false" customHeight="true" outlineLevel="0" collapsed="false">
      <c r="A31" s="11" t="s">
        <v>24</v>
      </c>
      <c r="B31" s="10" t="n">
        <v>36</v>
      </c>
    </row>
    <row r="32" customFormat="false" ht="15" hidden="false" customHeight="true" outlineLevel="0" collapsed="false">
      <c r="A32" s="11" t="s">
        <v>42</v>
      </c>
      <c r="B32" s="10" t="n">
        <v>6</v>
      </c>
    </row>
    <row r="33" customFormat="false" ht="15" hidden="false" customHeight="true" outlineLevel="0" collapsed="false">
      <c r="A33" s="11" t="s">
        <v>43</v>
      </c>
      <c r="B33" s="10" t="n">
        <v>170</v>
      </c>
    </row>
    <row r="34" customFormat="false" ht="15" hidden="false" customHeight="true" outlineLevel="0" collapsed="false">
      <c r="A34" s="11" t="s">
        <v>44</v>
      </c>
      <c r="B34" s="10" t="n">
        <v>45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17.25" hidden="false" customHeight="true" outlineLevel="0" collapsed="false">
      <c r="A1" s="2" t="s">
        <v>45</v>
      </c>
    </row>
    <row r="2" customFormat="false" ht="15" hidden="false" customHeight="true" outlineLevel="0" collapsed="false">
      <c r="A2" s="12" t="s">
        <v>46</v>
      </c>
    </row>
    <row r="4" customFormat="false" ht="15" hidden="false" customHeight="true" outlineLevel="0" collapsed="false">
      <c r="A4" s="3" t="s">
        <v>47</v>
      </c>
      <c r="B4" s="3" t="s">
        <v>48</v>
      </c>
    </row>
    <row r="5" customFormat="false" ht="42" hidden="false" customHeight="true" outlineLevel="0" collapsed="false">
      <c r="A5" s="13" t="s">
        <v>49</v>
      </c>
      <c r="B5" s="14" t="s">
        <v>50</v>
      </c>
    </row>
    <row r="6" customFormat="false" ht="42" hidden="false" customHeight="true" outlineLevel="0" collapsed="false">
      <c r="A6" s="13" t="s">
        <v>51</v>
      </c>
      <c r="B6" s="14" t="s">
        <v>52</v>
      </c>
    </row>
    <row r="7" customFormat="false" ht="42" hidden="false" customHeight="true" outlineLevel="0" collapsed="false">
      <c r="A7" s="13" t="s">
        <v>53</v>
      </c>
      <c r="B7" s="14" t="s">
        <v>54</v>
      </c>
    </row>
    <row r="8" customFormat="false" ht="42" hidden="false" customHeight="true" outlineLevel="0" collapsed="false">
      <c r="A8" s="13" t="s">
        <v>55</v>
      </c>
      <c r="B8" s="14" t="s">
        <v>56</v>
      </c>
    </row>
    <row r="9" customFormat="false" ht="42" hidden="false" customHeight="true" outlineLevel="0" collapsed="false">
      <c r="A9" s="13" t="s">
        <v>57</v>
      </c>
      <c r="B9" s="14" t="s">
        <v>58</v>
      </c>
    </row>
    <row r="10" customFormat="false" ht="42" hidden="false" customHeight="true" outlineLevel="0" collapsed="false">
      <c r="A10" s="13" t="s">
        <v>59</v>
      </c>
      <c r="B10" s="14" t="s">
        <v>60</v>
      </c>
    </row>
    <row r="11" customFormat="false" ht="42" hidden="false" customHeight="true" outlineLevel="0" collapsed="false">
      <c r="A11" s="13" t="s">
        <v>61</v>
      </c>
      <c r="B11" s="14" t="s">
        <v>62</v>
      </c>
    </row>
    <row r="12" customFormat="false" ht="42" hidden="false" customHeight="true" outlineLevel="0" collapsed="false">
      <c r="A12" s="13" t="s">
        <v>63</v>
      </c>
      <c r="B12" s="14" t="s">
        <v>64</v>
      </c>
    </row>
    <row r="13" customFormat="false" ht="42" hidden="false" customHeight="true" outlineLevel="0" collapsed="false">
      <c r="A13" s="13" t="s">
        <v>65</v>
      </c>
      <c r="B13" s="14" t="s">
        <v>66</v>
      </c>
    </row>
    <row r="14" customFormat="false" ht="42" hidden="false" customHeight="true" outlineLevel="0" collapsed="false">
      <c r="A14" s="13" t="s">
        <v>67</v>
      </c>
      <c r="B14" s="1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8"/>
    <col collapsed="false" customWidth="true" hidden="false" outlineLevel="0" max="7" min="7" style="1" width="15"/>
    <col collapsed="false" customWidth="true" hidden="false" outlineLevel="0" max="8" min="8" style="1" width="34"/>
  </cols>
  <sheetData>
    <row r="1" customFormat="false" ht="17.25" hidden="false" customHeight="true" outlineLevel="0" collapsed="false">
      <c r="A1" s="2" t="s">
        <v>69</v>
      </c>
    </row>
    <row r="2" customFormat="false" ht="15" hidden="false" customHeight="true" outlineLevel="0" collapsed="false">
      <c r="A2" s="12" t="s">
        <v>70</v>
      </c>
    </row>
    <row r="4" customFormat="false" ht="15" hidden="false" customHeight="true" outlineLevel="0" collapsed="false">
      <c r="A4" s="3" t="s">
        <v>71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77</v>
      </c>
      <c r="H4" s="3" t="s">
        <v>78</v>
      </c>
    </row>
    <row r="5" customFormat="false" ht="15.75" hidden="false" customHeight="true" outlineLevel="0" collapsed="false">
      <c r="A5" s="11" t="n">
        <v>1</v>
      </c>
      <c r="B5" s="11" t="s">
        <v>79</v>
      </c>
      <c r="C5" s="11" t="s">
        <v>80</v>
      </c>
      <c r="D5" s="11" t="s">
        <v>81</v>
      </c>
      <c r="E5" s="11" t="s">
        <v>82</v>
      </c>
      <c r="F5" s="15" t="n">
        <v>0.95</v>
      </c>
      <c r="G5" s="16" t="s">
        <v>83</v>
      </c>
      <c r="H5" s="11" t="s">
        <v>84</v>
      </c>
    </row>
    <row r="6" customFormat="false" ht="15.75" hidden="false" customHeight="true" outlineLevel="0" collapsed="false">
      <c r="A6" s="11" t="n">
        <v>2</v>
      </c>
      <c r="B6" s="11" t="s">
        <v>85</v>
      </c>
      <c r="C6" s="11" t="s">
        <v>80</v>
      </c>
      <c r="D6" s="11" t="s">
        <v>86</v>
      </c>
      <c r="E6" s="11" t="s">
        <v>87</v>
      </c>
      <c r="F6" s="15" t="n">
        <v>0.75</v>
      </c>
      <c r="G6" s="16" t="s">
        <v>83</v>
      </c>
      <c r="H6" s="11" t="s">
        <v>88</v>
      </c>
    </row>
    <row r="7" customFormat="false" ht="15.75" hidden="false" customHeight="true" outlineLevel="0" collapsed="false">
      <c r="A7" s="11" t="n">
        <v>3</v>
      </c>
      <c r="B7" s="11" t="s">
        <v>89</v>
      </c>
      <c r="C7" s="11" t="s">
        <v>90</v>
      </c>
      <c r="D7" s="11" t="s">
        <v>91</v>
      </c>
      <c r="E7" s="11" t="s">
        <v>91</v>
      </c>
      <c r="F7" s="11"/>
      <c r="G7" s="16" t="s">
        <v>83</v>
      </c>
      <c r="H7" s="11" t="s">
        <v>92</v>
      </c>
    </row>
    <row r="8" customFormat="false" ht="15.75" hidden="false" customHeight="true" outlineLevel="0" collapsed="false">
      <c r="A8" s="11" t="n">
        <v>4</v>
      </c>
      <c r="B8" s="11" t="s">
        <v>93</v>
      </c>
      <c r="C8" s="11" t="s">
        <v>94</v>
      </c>
      <c r="D8" s="11" t="s">
        <v>86</v>
      </c>
      <c r="E8" s="11" t="s">
        <v>82</v>
      </c>
      <c r="F8" s="15" t="n">
        <v>0.6</v>
      </c>
      <c r="G8" s="16" t="s">
        <v>83</v>
      </c>
      <c r="H8" s="11" t="s">
        <v>95</v>
      </c>
    </row>
    <row r="9" customFormat="false" ht="15.75" hidden="false" customHeight="true" outlineLevel="0" collapsed="false">
      <c r="A9" s="11" t="n">
        <v>5</v>
      </c>
      <c r="B9" s="11" t="s">
        <v>96</v>
      </c>
      <c r="C9" s="11" t="s">
        <v>97</v>
      </c>
      <c r="D9" s="11" t="s">
        <v>98</v>
      </c>
      <c r="E9" s="11" t="s">
        <v>82</v>
      </c>
      <c r="F9" s="15" t="n">
        <v>0.9</v>
      </c>
      <c r="G9" s="16" t="s">
        <v>83</v>
      </c>
      <c r="H9" s="11" t="s">
        <v>99</v>
      </c>
    </row>
    <row r="10" customFormat="false" ht="15.75" hidden="false" customHeight="true" outlineLevel="0" collapsed="false">
      <c r="A10" s="11" t="n">
        <v>6</v>
      </c>
      <c r="B10" s="11" t="s">
        <v>100</v>
      </c>
      <c r="C10" s="11" t="s">
        <v>101</v>
      </c>
      <c r="D10" s="11" t="s">
        <v>102</v>
      </c>
      <c r="E10" s="11" t="s">
        <v>82</v>
      </c>
      <c r="F10" s="15" t="n">
        <v>0.9</v>
      </c>
      <c r="G10" s="16" t="s">
        <v>83</v>
      </c>
      <c r="H10" s="11" t="s">
        <v>103</v>
      </c>
    </row>
    <row r="11" customFormat="false" ht="15.75" hidden="false" customHeight="true" outlineLevel="0" collapsed="false">
      <c r="A11" s="11" t="n">
        <v>7</v>
      </c>
      <c r="B11" s="11" t="s">
        <v>104</v>
      </c>
      <c r="C11" s="11" t="s">
        <v>101</v>
      </c>
      <c r="D11" s="11" t="s">
        <v>86</v>
      </c>
      <c r="E11" s="11" t="s">
        <v>82</v>
      </c>
      <c r="F11" s="15" t="n">
        <v>0.9</v>
      </c>
      <c r="G11" s="16" t="s">
        <v>83</v>
      </c>
      <c r="H11" s="11" t="s">
        <v>105</v>
      </c>
    </row>
    <row r="13" customFormat="false" ht="15" hidden="false" customHeight="true" outlineLevel="0" collapsed="false">
      <c r="A13" s="10" t="s">
        <v>106</v>
      </c>
      <c r="G13" s="10" t="n">
        <f aca="false">COUNTIF(G5:G11,"YES")</f>
        <v>7</v>
      </c>
    </row>
    <row r="14" customFormat="false" ht="15" hidden="false" customHeight="true" outlineLevel="0" collapsed="false">
      <c r="A14" s="10" t="s">
        <v>107</v>
      </c>
      <c r="G14" s="17" t="n">
        <f aca="false">G13/COUNTA(A5:A11)</f>
        <v>1</v>
      </c>
    </row>
    <row r="16" customFormat="false" ht="15" hidden="false" customHeight="true" outlineLevel="0" collapsed="false">
      <c r="A16" s="10" t="s">
        <v>108</v>
      </c>
    </row>
    <row r="17" customFormat="false" ht="39.75" hidden="false" customHeight="true" outlineLevel="0" collapsed="false">
      <c r="A17" s="18" t="s">
        <v>109</v>
      </c>
      <c r="B17" s="18"/>
      <c r="C17" s="18"/>
      <c r="D17" s="18"/>
      <c r="E17" s="18"/>
      <c r="F17" s="18"/>
      <c r="G17" s="18"/>
      <c r="H17" s="18"/>
    </row>
    <row r="18" customFormat="false" ht="39.75" hidden="false" customHeight="true" outlineLevel="0" collapsed="false">
      <c r="A18" s="18" t="s">
        <v>110</v>
      </c>
      <c r="B18" s="18"/>
      <c r="C18" s="18"/>
      <c r="D18" s="18"/>
      <c r="E18" s="18"/>
      <c r="F18" s="18"/>
      <c r="G18" s="18"/>
      <c r="H18" s="18"/>
    </row>
    <row r="19" customFormat="false" ht="39.75" hidden="false" customHeight="true" outlineLevel="0" collapsed="false">
      <c r="A19" s="18" t="s">
        <v>111</v>
      </c>
      <c r="B19" s="18"/>
      <c r="C19" s="18"/>
      <c r="D19" s="18"/>
      <c r="E19" s="18"/>
      <c r="F19" s="18"/>
      <c r="G19" s="18"/>
      <c r="H19" s="18"/>
    </row>
    <row r="20" customFormat="false" ht="39.75" hidden="false" customHeight="true" outlineLevel="0" collapsed="false">
      <c r="A20" s="18" t="s">
        <v>112</v>
      </c>
      <c r="B20" s="18"/>
      <c r="C20" s="18"/>
      <c r="D20" s="18"/>
      <c r="E20" s="18"/>
      <c r="F20" s="18"/>
      <c r="G20" s="18"/>
      <c r="H20" s="18"/>
    </row>
  </sheetData>
  <mergeCells count="4"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3" min="3" style="1" width="11"/>
    <col collapsed="false" customWidth="true" hidden="false" outlineLevel="0" max="5" min="4" style="1" width="13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9" min="8" style="1" width="19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113</v>
      </c>
    </row>
    <row r="2" customFormat="false" ht="15" hidden="false" customHeight="true" outlineLevel="0" collapsed="false">
      <c r="A2" s="12" t="s">
        <v>114</v>
      </c>
    </row>
    <row r="4" customFormat="false" ht="15" hidden="false" customHeight="true" outlineLevel="0" collapsed="false">
      <c r="A4" s="3" t="s">
        <v>115</v>
      </c>
      <c r="B4" s="3" t="s">
        <v>72</v>
      </c>
      <c r="C4" s="3" t="s">
        <v>116</v>
      </c>
      <c r="D4" s="3" t="s">
        <v>36</v>
      </c>
      <c r="E4" s="3" t="s">
        <v>117</v>
      </c>
      <c r="F4" s="3" t="s">
        <v>118</v>
      </c>
      <c r="G4" s="3" t="s">
        <v>119</v>
      </c>
      <c r="H4" s="3" t="s">
        <v>120</v>
      </c>
      <c r="I4" s="3" t="s">
        <v>121</v>
      </c>
      <c r="J4" s="3" t="s">
        <v>122</v>
      </c>
    </row>
    <row r="5" customFormat="false" ht="15" hidden="false" customHeight="true" outlineLevel="0" collapsed="false">
      <c r="A5" s="11" t="s">
        <v>123</v>
      </c>
      <c r="B5" s="11" t="s">
        <v>79</v>
      </c>
      <c r="C5" s="11" t="n">
        <v>14</v>
      </c>
      <c r="D5" s="11" t="n">
        <v>15</v>
      </c>
      <c r="E5" s="11" t="n">
        <v>109</v>
      </c>
      <c r="F5" s="11" t="n">
        <v>38.2</v>
      </c>
      <c r="G5" s="11" t="n">
        <v>9</v>
      </c>
      <c r="H5" s="11" t="n">
        <v>9</v>
      </c>
      <c r="I5" s="11" t="n">
        <v>0</v>
      </c>
      <c r="J5" s="16" t="s">
        <v>124</v>
      </c>
    </row>
    <row r="8" customFormat="false" ht="15" hidden="false" customHeight="true" outlineLevel="0" collapsed="false">
      <c r="A8" s="10" t="s">
        <v>125</v>
      </c>
    </row>
    <row r="9" customFormat="false" ht="30" hidden="false" customHeight="true" outlineLevel="0" collapsed="false">
      <c r="A9" s="10" t="s">
        <v>126</v>
      </c>
      <c r="B9" s="19" t="s">
        <v>127</v>
      </c>
      <c r="C9" s="19"/>
      <c r="D9" s="19"/>
      <c r="E9" s="19"/>
      <c r="F9" s="19"/>
      <c r="G9" s="19"/>
      <c r="H9" s="19"/>
      <c r="I9" s="19"/>
      <c r="J9" s="19"/>
    </row>
    <row r="10" customFormat="false" ht="30" hidden="false" customHeight="true" outlineLevel="0" collapsed="false">
      <c r="A10" s="10" t="s">
        <v>128</v>
      </c>
      <c r="B10" s="19" t="s">
        <v>129</v>
      </c>
      <c r="C10" s="19"/>
      <c r="D10" s="19"/>
      <c r="E10" s="19"/>
      <c r="F10" s="19"/>
      <c r="G10" s="19"/>
      <c r="H10" s="19"/>
      <c r="I10" s="19"/>
      <c r="J10" s="19"/>
    </row>
    <row r="11" customFormat="false" ht="30" hidden="false" customHeight="true" outlineLevel="0" collapsed="false">
      <c r="A11" s="10" t="s">
        <v>130</v>
      </c>
      <c r="B11" s="19" t="s">
        <v>131</v>
      </c>
      <c r="C11" s="19"/>
      <c r="D11" s="19"/>
      <c r="E11" s="19"/>
      <c r="F11" s="19"/>
      <c r="G11" s="19"/>
      <c r="H11" s="19"/>
      <c r="I11" s="19"/>
      <c r="J11" s="19"/>
    </row>
    <row r="12" customFormat="false" ht="30" hidden="false" customHeight="true" outlineLevel="0" collapsed="false">
      <c r="A12" s="10" t="s">
        <v>132</v>
      </c>
      <c r="B12" s="19" t="s">
        <v>133</v>
      </c>
      <c r="C12" s="19"/>
      <c r="D12" s="19"/>
      <c r="E12" s="19"/>
      <c r="F12" s="19"/>
      <c r="G12" s="19"/>
      <c r="H12" s="19"/>
      <c r="I12" s="19"/>
      <c r="J12" s="19"/>
    </row>
    <row r="13" customFormat="false" ht="30" hidden="false" customHeight="true" outlineLevel="0" collapsed="false">
      <c r="A13" s="10" t="s">
        <v>134</v>
      </c>
      <c r="B13" s="19" t="s">
        <v>135</v>
      </c>
      <c r="C13" s="19"/>
      <c r="D13" s="19"/>
      <c r="E13" s="19"/>
      <c r="F13" s="19"/>
      <c r="G13" s="19"/>
      <c r="H13" s="19"/>
      <c r="I13" s="19"/>
      <c r="J13" s="19"/>
    </row>
    <row r="14" customFormat="false" ht="30" hidden="false" customHeight="true" outlineLevel="0" collapsed="false">
      <c r="A14" s="10" t="s">
        <v>136</v>
      </c>
      <c r="B14" s="19" t="s">
        <v>137</v>
      </c>
      <c r="C14" s="19"/>
      <c r="D14" s="19"/>
      <c r="E14" s="19"/>
      <c r="F14" s="19"/>
      <c r="G14" s="19"/>
      <c r="H14" s="19"/>
      <c r="I14" s="19"/>
      <c r="J14" s="19"/>
    </row>
    <row r="17" customFormat="false" ht="15" hidden="false" customHeight="true" outlineLevel="0" collapsed="false">
      <c r="A17" s="10" t="s">
        <v>138</v>
      </c>
    </row>
    <row r="18" customFormat="false" ht="45.75" hidden="false" customHeight="true" outlineLevel="0" collapsed="false">
      <c r="A18" s="18" t="s">
        <v>139</v>
      </c>
      <c r="B18" s="18"/>
      <c r="C18" s="18"/>
      <c r="D18" s="18"/>
      <c r="E18" s="18"/>
      <c r="F18" s="18"/>
      <c r="G18" s="18"/>
      <c r="H18" s="18"/>
      <c r="I18" s="18"/>
      <c r="J18" s="18"/>
    </row>
  </sheetData>
  <mergeCells count="7">
    <mergeCell ref="B9:J9"/>
    <mergeCell ref="B10:J10"/>
    <mergeCell ref="B11:J11"/>
    <mergeCell ref="B12:J12"/>
    <mergeCell ref="B13:J13"/>
    <mergeCell ref="B14:J14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60"/>
    <col collapsed="false" customWidth="true" hidden="false" outlineLevel="0" max="4" min="4" style="1" width="10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" t="s">
        <v>140</v>
      </c>
    </row>
    <row r="2" customFormat="false" ht="15" hidden="false" customHeight="true" outlineLevel="0" collapsed="false">
      <c r="A2" s="12" t="s">
        <v>141</v>
      </c>
    </row>
    <row r="4" customFormat="false" ht="15" hidden="false" customHeight="true" outlineLevel="0" collapsed="false">
      <c r="A4" s="3" t="s">
        <v>142</v>
      </c>
      <c r="B4" s="3" t="s">
        <v>2</v>
      </c>
    </row>
    <row r="5" customFormat="false" ht="15" hidden="false" customHeight="true" outlineLevel="0" collapsed="false">
      <c r="A5" s="10" t="s">
        <v>21</v>
      </c>
      <c r="B5" s="11" t="n">
        <v>42</v>
      </c>
    </row>
    <row r="6" customFormat="false" ht="15" hidden="false" customHeight="true" outlineLevel="0" collapsed="false">
      <c r="A6" s="10" t="s">
        <v>24</v>
      </c>
      <c r="B6" s="11" t="n">
        <v>36</v>
      </c>
    </row>
    <row r="7" customFormat="false" ht="15" hidden="false" customHeight="true" outlineLevel="0" collapsed="false">
      <c r="A7" s="10" t="s">
        <v>42</v>
      </c>
      <c r="B7" s="11" t="n">
        <v>6</v>
      </c>
    </row>
    <row r="8" customFormat="false" ht="15" hidden="false" customHeight="true" outlineLevel="0" collapsed="false">
      <c r="A8" s="10" t="s">
        <v>143</v>
      </c>
      <c r="B8" s="11" t="n">
        <v>25</v>
      </c>
    </row>
    <row r="9" customFormat="false" ht="15" hidden="false" customHeight="true" outlineLevel="0" collapsed="false">
      <c r="A9" s="10" t="s">
        <v>144</v>
      </c>
      <c r="B9" s="11" t="n">
        <v>11</v>
      </c>
    </row>
    <row r="10" customFormat="false" ht="15" hidden="false" customHeight="true" outlineLevel="0" collapsed="false">
      <c r="A10" s="10" t="s">
        <v>43</v>
      </c>
      <c r="B10" s="11" t="n">
        <v>170</v>
      </c>
    </row>
    <row r="11" customFormat="false" ht="15" hidden="false" customHeight="true" outlineLevel="0" collapsed="false">
      <c r="A11" s="10" t="s">
        <v>44</v>
      </c>
      <c r="B11" s="11" t="n">
        <v>45</v>
      </c>
    </row>
    <row r="12" customFormat="false" ht="15" hidden="false" customHeight="true" outlineLevel="0" collapsed="false">
      <c r="A12" s="10" t="s">
        <v>145</v>
      </c>
      <c r="B12" s="20" t="n">
        <v>0.2286</v>
      </c>
    </row>
    <row r="13" customFormat="false" ht="15" hidden="false" customHeight="true" outlineLevel="0" collapsed="false">
      <c r="A13" s="10" t="s">
        <v>146</v>
      </c>
      <c r="B13" s="17" t="n">
        <f aca="false">B11/B10</f>
        <v>0.264705882352941</v>
      </c>
    </row>
    <row r="15" customFormat="false" ht="15" hidden="false" customHeight="true" outlineLevel="0" collapsed="false">
      <c r="A15" s="10" t="s">
        <v>147</v>
      </c>
    </row>
    <row r="16" customFormat="false" ht="15" hidden="false" customHeight="true" outlineLevel="0" collapsed="false">
      <c r="A16" s="3" t="s">
        <v>148</v>
      </c>
      <c r="B16" s="3" t="s">
        <v>149</v>
      </c>
      <c r="C16" s="3" t="s">
        <v>150</v>
      </c>
      <c r="D16" s="3" t="s">
        <v>151</v>
      </c>
      <c r="E16" s="3" t="s">
        <v>152</v>
      </c>
    </row>
    <row r="17" customFormat="false" ht="15" hidden="false" customHeight="true" outlineLevel="0" collapsed="false">
      <c r="A17" s="11" t="s">
        <v>153</v>
      </c>
      <c r="B17" s="11" t="n">
        <v>39.5</v>
      </c>
      <c r="C17" s="11" t="n">
        <v>38.1</v>
      </c>
      <c r="D17" s="11" t="n">
        <v>77.6</v>
      </c>
      <c r="E17" s="11" t="n">
        <v>45</v>
      </c>
    </row>
    <row r="18" customFormat="false" ht="15" hidden="false" customHeight="true" outlineLevel="0" collapsed="false">
      <c r="A18" s="11" t="s">
        <v>154</v>
      </c>
      <c r="B18" s="11" t="n">
        <v>114.4</v>
      </c>
      <c r="C18" s="11" t="n">
        <v>104.5</v>
      </c>
      <c r="D18" s="11" t="n">
        <v>114.4</v>
      </c>
      <c r="E18" s="11" t="n">
        <v>125</v>
      </c>
    </row>
    <row r="20" customFormat="false" ht="33.75" hidden="false" customHeight="true" outlineLevel="0" collapsed="false">
      <c r="A20" s="18" t="s">
        <v>155</v>
      </c>
      <c r="B20" s="18"/>
      <c r="C20" s="18"/>
      <c r="D20" s="18"/>
      <c r="E20" s="18"/>
    </row>
    <row r="22" customFormat="false" ht="15" hidden="false" customHeight="true" outlineLevel="0" collapsed="false">
      <c r="A22" s="10" t="s">
        <v>156</v>
      </c>
    </row>
    <row r="23" customFormat="false" ht="15" hidden="false" customHeight="true" outlineLevel="0" collapsed="false">
      <c r="A23" s="3" t="s">
        <v>157</v>
      </c>
      <c r="B23" s="3" t="s">
        <v>158</v>
      </c>
    </row>
    <row r="24" customFormat="false" ht="15" hidden="false" customHeight="true" outlineLevel="0" collapsed="false">
      <c r="A24" s="11" t="s">
        <v>159</v>
      </c>
      <c r="B24" s="21" t="n">
        <v>0.279</v>
      </c>
    </row>
    <row r="25" customFormat="false" ht="15" hidden="false" customHeight="true" outlineLevel="0" collapsed="false">
      <c r="A25" s="11" t="s">
        <v>160</v>
      </c>
      <c r="B25" s="21" t="n">
        <f aca="false">B11/B10</f>
        <v>0.264705882352941</v>
      </c>
    </row>
    <row r="26" customFormat="false" ht="15" hidden="false" customHeight="true" outlineLevel="0" collapsed="false">
      <c r="A26" s="11" t="s">
        <v>161</v>
      </c>
      <c r="B26" s="21" t="n">
        <f aca="false">ABS(B24-B25)</f>
        <v>0.0142941176470588</v>
      </c>
    </row>
    <row r="28" customFormat="false" ht="49.5" hidden="false" customHeight="true" outlineLevel="0" collapsed="false">
      <c r="A28" s="22" t="s">
        <v>162</v>
      </c>
      <c r="B28" s="22"/>
      <c r="C28" s="22"/>
      <c r="D28" s="22"/>
      <c r="E28" s="22"/>
    </row>
    <row r="30" customFormat="false" ht="15" hidden="false" customHeight="true" outlineLevel="0" collapsed="false">
      <c r="A30" s="10" t="s">
        <v>163</v>
      </c>
    </row>
    <row r="31" customFormat="false" ht="15" hidden="false" customHeight="true" outlineLevel="0" collapsed="false">
      <c r="A31" s="3" t="s">
        <v>164</v>
      </c>
      <c r="B31" s="3" t="s">
        <v>2</v>
      </c>
      <c r="C31" s="3" t="s">
        <v>165</v>
      </c>
    </row>
    <row r="32" customFormat="false" ht="15" hidden="false" customHeight="true" outlineLevel="0" collapsed="false">
      <c r="A32" s="11" t="s">
        <v>166</v>
      </c>
      <c r="B32" s="11" t="n">
        <v>0.45</v>
      </c>
      <c r="C32" s="14" t="s">
        <v>167</v>
      </c>
    </row>
    <row r="33" customFormat="false" ht="15" hidden="false" customHeight="true" outlineLevel="0" collapsed="false">
      <c r="A33" s="11" t="s">
        <v>168</v>
      </c>
      <c r="B33" s="11" t="n">
        <v>15</v>
      </c>
      <c r="C33" s="14" t="s">
        <v>169</v>
      </c>
    </row>
    <row r="34" customFormat="false" ht="15" hidden="false" customHeight="true" outlineLevel="0" collapsed="false">
      <c r="A34" s="11" t="s">
        <v>170</v>
      </c>
      <c r="B34" s="11" t="n">
        <v>175</v>
      </c>
      <c r="C34" s="14" t="s">
        <v>171</v>
      </c>
    </row>
    <row r="35" customFormat="false" ht="15" hidden="false" customHeight="true" outlineLevel="0" collapsed="false">
      <c r="A35" s="11" t="s">
        <v>172</v>
      </c>
      <c r="B35" s="11" t="n">
        <v>85</v>
      </c>
      <c r="C35" s="14" t="s">
        <v>173</v>
      </c>
    </row>
    <row r="36" customFormat="false" ht="15" hidden="false" customHeight="true" outlineLevel="0" collapsed="false">
      <c r="A36" s="11" t="s">
        <v>174</v>
      </c>
      <c r="B36" s="11" t="n">
        <v>150</v>
      </c>
      <c r="C36" s="14" t="s">
        <v>175</v>
      </c>
    </row>
    <row r="37" customFormat="false" ht="15" hidden="false" customHeight="true" outlineLevel="0" collapsed="false">
      <c r="A37" s="11" t="s">
        <v>176</v>
      </c>
      <c r="B37" s="11" t="n">
        <v>5</v>
      </c>
      <c r="C37" s="14" t="s">
        <v>177</v>
      </c>
    </row>
  </sheetData>
  <mergeCells count="2">
    <mergeCell ref="A20:E20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54"/>
    <col collapsed="false" customWidth="true" hidden="false" outlineLevel="0" max="4" min="4" style="1" width="46"/>
  </cols>
  <sheetData>
    <row r="1" customFormat="false" ht="17.25" hidden="false" customHeight="true" outlineLevel="0" collapsed="false">
      <c r="A1" s="2" t="s">
        <v>178</v>
      </c>
    </row>
    <row r="2" customFormat="false" ht="15" hidden="false" customHeight="true" outlineLevel="0" collapsed="false">
      <c r="A2" s="12" t="s">
        <v>179</v>
      </c>
    </row>
    <row r="4" customFormat="false" ht="15" hidden="false" customHeight="true" outlineLevel="0" collapsed="false">
      <c r="A4" s="3" t="s">
        <v>180</v>
      </c>
      <c r="B4" s="3" t="s">
        <v>181</v>
      </c>
      <c r="C4" s="3" t="s">
        <v>182</v>
      </c>
      <c r="D4" s="3" t="s">
        <v>183</v>
      </c>
    </row>
    <row r="5" customFormat="false" ht="61.5" hidden="false" customHeight="true" outlineLevel="0" collapsed="false">
      <c r="A5" s="13" t="s">
        <v>184</v>
      </c>
      <c r="B5" s="23" t="s">
        <v>29</v>
      </c>
      <c r="C5" s="14" t="s">
        <v>185</v>
      </c>
      <c r="D5" s="14" t="s">
        <v>186</v>
      </c>
    </row>
    <row r="6" customFormat="false" ht="61.5" hidden="false" customHeight="true" outlineLevel="0" collapsed="false">
      <c r="A6" s="13" t="s">
        <v>187</v>
      </c>
      <c r="B6" s="23" t="s">
        <v>29</v>
      </c>
      <c r="C6" s="14" t="s">
        <v>188</v>
      </c>
      <c r="D6" s="14" t="s">
        <v>189</v>
      </c>
    </row>
    <row r="7" customFormat="false" ht="61.5" hidden="false" customHeight="true" outlineLevel="0" collapsed="false">
      <c r="A7" s="13" t="s">
        <v>190</v>
      </c>
      <c r="B7" s="23" t="s">
        <v>191</v>
      </c>
      <c r="C7" s="14" t="s">
        <v>192</v>
      </c>
      <c r="D7" s="14" t="s">
        <v>193</v>
      </c>
    </row>
    <row r="8" customFormat="false" ht="61.5" hidden="false" customHeight="true" outlineLevel="0" collapsed="false">
      <c r="A8" s="13" t="s">
        <v>5</v>
      </c>
      <c r="B8" s="24" t="s">
        <v>194</v>
      </c>
      <c r="C8" s="14" t="s">
        <v>195</v>
      </c>
      <c r="D8" s="14" t="s">
        <v>196</v>
      </c>
    </row>
    <row r="9" customFormat="false" ht="61.5" hidden="false" customHeight="true" outlineLevel="0" collapsed="false">
      <c r="A9" s="13" t="s">
        <v>197</v>
      </c>
      <c r="B9" s="23" t="s">
        <v>29</v>
      </c>
      <c r="C9" s="14" t="s">
        <v>198</v>
      </c>
      <c r="D9" s="14" t="s">
        <v>199</v>
      </c>
    </row>
    <row r="10" customFormat="false" ht="61.5" hidden="false" customHeight="true" outlineLevel="0" collapsed="false">
      <c r="A10" s="13" t="s">
        <v>200</v>
      </c>
      <c r="B10" s="24" t="s">
        <v>201</v>
      </c>
      <c r="C10" s="14" t="s">
        <v>202</v>
      </c>
      <c r="D10" s="14" t="s">
        <v>203</v>
      </c>
    </row>
    <row r="11" customFormat="false" ht="61.5" hidden="false" customHeight="true" outlineLevel="0" collapsed="false">
      <c r="A11" s="13" t="s">
        <v>204</v>
      </c>
      <c r="B11" s="23" t="s">
        <v>205</v>
      </c>
      <c r="C11" s="14" t="s">
        <v>206</v>
      </c>
      <c r="D11" s="14" t="s">
        <v>207</v>
      </c>
    </row>
    <row r="12" customFormat="false" ht="61.5" hidden="false" customHeight="true" outlineLevel="0" collapsed="false">
      <c r="A12" s="13" t="s">
        <v>208</v>
      </c>
      <c r="B12" s="24" t="s">
        <v>209</v>
      </c>
      <c r="C12" s="14" t="s">
        <v>210</v>
      </c>
      <c r="D12" s="14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2" t="s">
        <v>212</v>
      </c>
    </row>
    <row r="2" customFormat="false" ht="15" hidden="false" customHeight="true" outlineLevel="0" collapsed="false">
      <c r="A2" s="12" t="s">
        <v>213</v>
      </c>
    </row>
    <row r="4" customFormat="false" ht="15" hidden="false" customHeight="true" outlineLevel="0" collapsed="false">
      <c r="A4" s="3" t="s">
        <v>214</v>
      </c>
      <c r="B4" s="3" t="s">
        <v>215</v>
      </c>
    </row>
    <row r="5" customFormat="false" ht="43.5" hidden="false" customHeight="true" outlineLevel="0" collapsed="false">
      <c r="A5" s="13" t="s">
        <v>216</v>
      </c>
      <c r="B5" s="14" t="s">
        <v>217</v>
      </c>
    </row>
    <row r="6" customFormat="false" ht="43.5" hidden="false" customHeight="true" outlineLevel="0" collapsed="false">
      <c r="A6" s="13" t="s">
        <v>218</v>
      </c>
      <c r="B6" s="14" t="s">
        <v>219</v>
      </c>
    </row>
    <row r="7" customFormat="false" ht="43.5" hidden="false" customHeight="true" outlineLevel="0" collapsed="false">
      <c r="A7" s="13" t="s">
        <v>220</v>
      </c>
      <c r="B7" s="14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2026-09-07T09:59:24Z</dcterms:created>
  <dc:creator>openpyxl</dc:creator>
  <dc:description/>
  <dc:language>en-US</dc:language>
  <cp:lastModifiedBy/>
  <dcterms:modified xsi:type="dcterms:W3CDTF">2026-09-07T11:34:32Z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