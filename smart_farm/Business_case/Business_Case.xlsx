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2"/>
    <sheet name="Per-mission cost" sheetId="2" state="visible" r:id="rId3"/>
    <sheet name="P&amp;L 3 year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<sst xmlns="http://schemas.openxmlformats.org/spreadsheetml/2006/main" count="123" uniqueCount="104">
  <si>
    <t xml:space="preserve">Business Case — Smart Farm Asset Inspector</t>
  </si>
  <si>
    <t xml:space="preserve">Assumption</t>
  </si>
  <si>
    <t xml:space="preserve">Value</t>
  </si>
  <si>
    <t xml:space="preserve">Unit</t>
  </si>
  <si>
    <t xml:space="preserve">Source / basis</t>
  </si>
  <si>
    <t xml:space="preserve">DEVELOPMENT</t>
  </si>
  <si>
    <t xml:space="preserve">Development effort</t>
  </si>
  <si>
    <t xml:space="preserve">person-days</t>
  </si>
  <si>
    <t xml:space="preserve">Estimated from this challenge: ~15 pd to reach the demonstrated state, scaled for productionisation (error handling, multi-site config, docs).</t>
  </si>
  <si>
    <t xml:space="preserve">Blended day rate</t>
  </si>
  <si>
    <t xml:space="preserve">€/day</t>
  </si>
  <si>
    <t xml:space="preserve">Assumption — replace with the internal engineering rate.</t>
  </si>
  <si>
    <t xml:space="preserve">Commissioning effort per site</t>
  </si>
  <si>
    <t xml:space="preserve">Measured: field map ~0.5 pd, SLAM map ~0.5 pd, detector calibration ~0.5 pd, plus travel and handover.</t>
  </si>
  <si>
    <t xml:space="preserve">Annual maintenance</t>
  </si>
  <si>
    <t xml:space="preserve">% of dev cost</t>
  </si>
  <si>
    <t xml:space="preserve">Assumption — typical software maintenance band 15-20%.</t>
  </si>
  <si>
    <t xml:space="preserve">HARDWARE</t>
  </si>
  <si>
    <t xml:space="preserve">Unitree Go2 EDU + sensors</t>
  </si>
  <si>
    <t xml:space="preserve">€/unit</t>
  </si>
  <si>
    <t xml:space="preserve">Assumption — verify against a current quotation. Includes RealSense and lidar.</t>
  </si>
  <si>
    <t xml:space="preserve">Hardware life</t>
  </si>
  <si>
    <t xml:space="preserve">years</t>
  </si>
  <si>
    <t xml:space="preserve">Assumption.</t>
  </si>
  <si>
    <t xml:space="preserve">Hardware maintenance</t>
  </si>
  <si>
    <t xml:space="preserve">% of capex/yr</t>
  </si>
  <si>
    <t xml:space="preserve">LLM COST — priced at API rates</t>
  </si>
  <si>
    <t xml:space="preserve">Input tokens per mission</t>
  </si>
  <si>
    <t xml:space="preserve">tokens</t>
  </si>
  <si>
    <t xml:space="preserve">Measured: prompt is ~6,300 characters.</t>
  </si>
  <si>
    <t xml:space="preserve">Output tokens per mission</t>
  </si>
  <si>
    <t xml:space="preserve">Measured from live parse trials.</t>
  </si>
  <si>
    <t xml:space="preserve">Input price</t>
  </si>
  <si>
    <t xml:space="preserve">€/M tokens</t>
  </si>
  <si>
    <t xml:space="preserve">Assumption — check current Claude Sonnet pricing.</t>
  </si>
  <si>
    <t xml:space="preserve">Output price</t>
  </si>
  <si>
    <t xml:space="preserve">Missions per robot per day</t>
  </si>
  <si>
    <t xml:space="preserve">missions</t>
  </si>
  <si>
    <t xml:space="preserve">Assumption — 4 fields, one inspection each.</t>
  </si>
  <si>
    <t xml:space="preserve">Operating days per year</t>
  </si>
  <si>
    <t xml:space="preserve">days</t>
  </si>
  <si>
    <t xml:space="preserve">Assumption — growing season, weather-limited.</t>
  </si>
  <si>
    <t xml:space="preserve">REVENUE</t>
  </si>
  <si>
    <t xml:space="preserve">Subscription per site</t>
  </si>
  <si>
    <t xml:space="preserve">€/year</t>
  </si>
  <si>
    <t xml:space="preserve">Assumption — 800 €/month. Positioned below the cost of a weekly agronomy visit.</t>
  </si>
  <si>
    <t xml:space="preserve">Hardware margin</t>
  </si>
  <si>
    <t xml:space="preserve">% on resale</t>
  </si>
  <si>
    <t xml:space="preserve">Commissioning fee per site</t>
  </si>
  <si>
    <t xml:space="preserve">€ one-off</t>
  </si>
  <si>
    <t xml:space="preserve">Assumption — 3 pd at a service rate.</t>
  </si>
  <si>
    <t xml:space="preserve">VOLUME</t>
  </si>
  <si>
    <t xml:space="preserve">Sites — year 1</t>
  </si>
  <si>
    <t xml:space="preserve">sites</t>
  </si>
  <si>
    <t xml:space="preserve">Assumption — pilot customers.</t>
  </si>
  <si>
    <t xml:space="preserve">Sites — year 2</t>
  </si>
  <si>
    <t xml:space="preserve">Sites — year 3</t>
  </si>
  <si>
    <t xml:space="preserve">Robots per site</t>
  </si>
  <si>
    <t xml:space="preserve">robots</t>
  </si>
  <si>
    <t xml:space="preserve">Assumption — one robot serves 20-200 ha.</t>
  </si>
  <si>
    <t xml:space="preserve">Annual churn</t>
  </si>
  <si>
    <t xml:space="preserve">%</t>
  </si>
  <si>
    <t xml:space="preserve">Every figure marked 'Assumption' is a placeholder that has not been validated with a customer or a supplier quotation. Figures marked 'Measured' come from the trials in KPI_Report.xlsx. The distinction is deliberate.</t>
  </si>
  <si>
    <t xml:space="preserve">LLM cost per mission</t>
  </si>
  <si>
    <t xml:space="preserve">Priced at API rates even though the demonstrator runs on a Claude subscription. The OAuth token is licensed for individual use; a production deployment would use an API key.</t>
  </si>
  <si>
    <t xml:space="preserve">Item</t>
  </si>
  <si>
    <t xml:space="preserve">Formula basis</t>
  </si>
  <si>
    <t xml:space="preserve">Input tokens</t>
  </si>
  <si>
    <t xml:space="preserve">measured</t>
  </si>
  <si>
    <t xml:space="preserve">Output tokens</t>
  </si>
  <si>
    <t xml:space="preserve">Input cost</t>
  </si>
  <si>
    <t xml:space="preserve">tokens / 1e6 x price</t>
  </si>
  <si>
    <t xml:space="preserve">Output cost</t>
  </si>
  <si>
    <t xml:space="preserve">input + output</t>
  </si>
  <si>
    <t xml:space="preserve">Missions per robot per year</t>
  </si>
  <si>
    <t xml:space="preserve">missions/day x operating days</t>
  </si>
  <si>
    <t xml:space="preserve">LLM cost per robot per year</t>
  </si>
  <si>
    <t xml:space="preserve">per-mission x missions/yr</t>
  </si>
  <si>
    <t xml:space="preserve">At roughly one cent per mission the LLM is not a meaningful cost driver. It is included because a business case that shows zero for its central technology invites the question.</t>
  </si>
  <si>
    <t xml:space="preserve">Three-year projection</t>
  </si>
  <si>
    <t xml:space="preserve">All figures derive from the Assumptions sheet. No hardcoded values below.</t>
  </si>
  <si>
    <t xml:space="preserve">Line</t>
  </si>
  <si>
    <t xml:space="preserve">Year 1</t>
  </si>
  <si>
    <t xml:space="preserve">Year 2</t>
  </si>
  <si>
    <t xml:space="preserve">Year 3</t>
  </si>
  <si>
    <t xml:space="preserve">Total</t>
  </si>
  <si>
    <t xml:space="preserve">Sites (cumulative)</t>
  </si>
  <si>
    <t xml:space="preserve">New sites in year</t>
  </si>
  <si>
    <t xml:space="preserve">Subscription</t>
  </si>
  <si>
    <t xml:space="preserve">Hardware resale margin</t>
  </si>
  <si>
    <t xml:space="preserve">Commissioning fees</t>
  </si>
  <si>
    <t xml:space="preserve">Total revenue</t>
  </si>
  <si>
    <t xml:space="preserve">COSTS</t>
  </si>
  <si>
    <t xml:space="preserve">Development (year 1 only)</t>
  </si>
  <si>
    <t xml:space="preserve">0</t>
  </si>
  <si>
    <t xml:space="preserve">Software maintenance</t>
  </si>
  <si>
    <t xml:space="preserve">Hardware purchase</t>
  </si>
  <si>
    <t xml:space="preserve">Commissioning delivery</t>
  </si>
  <si>
    <t xml:space="preserve">LLM consumption</t>
  </si>
  <si>
    <t xml:space="preserve">Total costs</t>
  </si>
  <si>
    <t xml:space="preserve">Net result</t>
  </si>
  <si>
    <t xml:space="preserve">Cumulative net</t>
  </si>
  <si>
    <t xml:space="preserve">Break-even</t>
  </si>
  <si>
    <t xml:space="preserve">Sensitivity: the three assumptions that move the answer most are subscription price, site count, and hardware cost. Change any of them on the Assumptions sheet and this page recalculates. Development effort and day rate are estimates, not quotations; hardware price should be replaced with a real quotation before this model is used for any decision.</t>
  </si>
</sst>
</file>

<file path=xl/styles.xml><?xml version="1.0" encoding="utf-8"?>
<styleSheet xmlns="http://schemas.openxmlformats.org/spreadsheetml/2006/main">
  <numFmts count="7">
    <numFmt numFmtId="164" formatCode="General"/>
    <numFmt numFmtId="165" formatCode="#,##0&quot; €&quot;"/>
    <numFmt numFmtId="166" formatCode="0.0%"/>
    <numFmt numFmtId="167" formatCode="#,##0.00&quot; €&quot;"/>
    <numFmt numFmtId="168" formatCode="#,##0"/>
    <numFmt numFmtId="169" formatCode="#,##0.0"/>
    <numFmt numFmtId="170" formatCode="General"/>
  </numFmts>
  <fonts count="11">
    <font>
      <sz val="11"/>
      <color rgb="FF000000"/>
      <name val="Calibri"/>
      <family val="2"/>
      <charset val="1"/>
    </font>
    <font>
      <sz val="10"/>
      <name val="Arial"/>
      <family val="0"/>
    </font>
    <font>
      <sz val="10"/>
      <name val="Arial"/>
      <family val="0"/>
    </font>
    <font>
      <sz val="10"/>
      <name val="Arial"/>
      <family val="0"/>
    </font>
    <font>
      <b val="true"/>
      <sz val="14"/>
      <color rgb="FF14304F"/>
      <name val="Arial"/>
      <family val="0"/>
      <charset val="1"/>
    </font>
    <font>
      <b val="true"/>
      <sz val="10"/>
      <color rgb="FFFFFFFF"/>
      <name val="Arial"/>
      <family val="0"/>
      <charset val="1"/>
    </font>
    <font>
      <b val="true"/>
      <sz val="10"/>
      <name val="Arial"/>
      <family val="0"/>
      <charset val="1"/>
    </font>
    <font>
      <sz val="10"/>
      <name val="Arial"/>
      <family val="0"/>
      <charset val="1"/>
    </font>
    <font>
      <b val="true"/>
      <sz val="10"/>
      <color rgb="FF0000CC"/>
      <name val="Arial"/>
      <family val="0"/>
      <charset val="1"/>
    </font>
    <font>
      <i val="true"/>
      <sz val="9"/>
      <color rgb="FF666666"/>
      <name val="Arial"/>
      <family val="0"/>
      <charset val="1"/>
    </font>
    <font>
      <i val="true"/>
      <sz val="10"/>
      <color rgb="FF666666"/>
      <name val="Arial"/>
      <family val="0"/>
      <charset val="1"/>
    </font>
  </fonts>
  <fills count="5">
    <fill>
      <patternFill patternType="none"/>
    </fill>
    <fill>
      <patternFill patternType="gray125"/>
    </fill>
    <fill>
      <patternFill patternType="solid">
        <fgColor rgb="FF14304F"/>
        <bgColor rgb="FF333333"/>
      </patternFill>
    </fill>
    <fill>
      <patternFill patternType="solid">
        <fgColor rgb="FFE7F0FD"/>
        <bgColor rgb="FFFFFFFF"/>
      </patternFill>
    </fill>
    <fill>
      <patternFill patternType="solid">
        <fgColor rgb="FFFFF9E0"/>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8" fillId="4" borderId="0" xfId="0" applyFont="true" applyBorder="false" applyAlignment="true" applyProtection="false">
      <alignment horizontal="general" vertical="bottom" textRotation="0" wrapText="false" indent="0" shrinkToFit="false"/>
      <protection locked="true" hidden="false"/>
    </xf>
    <xf numFmtId="166" fontId="8" fillId="4" borderId="0" xfId="0" applyFont="true" applyBorder="false" applyAlignment="true" applyProtection="false">
      <alignment horizontal="general" vertical="bottom" textRotation="0" wrapText="false" indent="0" shrinkToFit="false"/>
      <protection locked="true" hidden="false"/>
    </xf>
    <xf numFmtId="167" fontId="8"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7" fontId="7"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6" fillId="3"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E0"/>
      <rgbColor rgb="FFE7F0F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4304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16"/>
    <col collapsed="false" customWidth="true" hidden="false" outlineLevel="0" max="4" min="4" style="1" width="6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row>
    <row r="4" customFormat="false" ht="15" hidden="false" customHeight="true" outlineLevel="0" collapsed="false">
      <c r="A4" s="4" t="s">
        <v>5</v>
      </c>
      <c r="B4" s="5"/>
      <c r="C4" s="5"/>
      <c r="D4" s="5"/>
    </row>
    <row r="5" customFormat="false" ht="25.5" hidden="false" customHeight="true" outlineLevel="0" collapsed="false">
      <c r="A5" s="6" t="s">
        <v>6</v>
      </c>
      <c r="B5" s="7" t="n">
        <v>65</v>
      </c>
      <c r="C5" s="6" t="s">
        <v>7</v>
      </c>
      <c r="D5" s="8" t="s">
        <v>8</v>
      </c>
    </row>
    <row r="6" customFormat="false" ht="25.5" hidden="false" customHeight="true" outlineLevel="0" collapsed="false">
      <c r="A6" s="6" t="s">
        <v>9</v>
      </c>
      <c r="B6" s="9" t="n">
        <v>480</v>
      </c>
      <c r="C6" s="6" t="s">
        <v>10</v>
      </c>
      <c r="D6" s="8" t="s">
        <v>11</v>
      </c>
    </row>
    <row r="7" customFormat="false" ht="25.5" hidden="false" customHeight="true" outlineLevel="0" collapsed="false">
      <c r="A7" s="6" t="s">
        <v>12</v>
      </c>
      <c r="B7" s="7" t="n">
        <v>3</v>
      </c>
      <c r="C7" s="6" t="s">
        <v>7</v>
      </c>
      <c r="D7" s="8" t="s">
        <v>13</v>
      </c>
    </row>
    <row r="8" customFormat="false" ht="25.5" hidden="false" customHeight="true" outlineLevel="0" collapsed="false">
      <c r="A8" s="6" t="s">
        <v>14</v>
      </c>
      <c r="B8" s="10" t="n">
        <v>0.18</v>
      </c>
      <c r="C8" s="6" t="s">
        <v>15</v>
      </c>
      <c r="D8" s="8" t="s">
        <v>16</v>
      </c>
    </row>
    <row r="10" customFormat="false" ht="15" hidden="false" customHeight="true" outlineLevel="0" collapsed="false">
      <c r="A10" s="4" t="s">
        <v>17</v>
      </c>
      <c r="B10" s="5"/>
      <c r="C10" s="5"/>
      <c r="D10" s="5"/>
    </row>
    <row r="11" customFormat="false" ht="25.5" hidden="false" customHeight="true" outlineLevel="0" collapsed="false">
      <c r="A11" s="6" t="s">
        <v>18</v>
      </c>
      <c r="B11" s="9" t="n">
        <v>14000</v>
      </c>
      <c r="C11" s="6" t="s">
        <v>19</v>
      </c>
      <c r="D11" s="8" t="s">
        <v>20</v>
      </c>
    </row>
    <row r="12" customFormat="false" ht="25.5" hidden="false" customHeight="true" outlineLevel="0" collapsed="false">
      <c r="A12" s="6" t="s">
        <v>21</v>
      </c>
      <c r="B12" s="7" t="n">
        <v>4</v>
      </c>
      <c r="C12" s="6" t="s">
        <v>22</v>
      </c>
      <c r="D12" s="8" t="s">
        <v>23</v>
      </c>
    </row>
    <row r="13" customFormat="false" ht="25.5" hidden="false" customHeight="true" outlineLevel="0" collapsed="false">
      <c r="A13" s="6" t="s">
        <v>24</v>
      </c>
      <c r="B13" s="10" t="n">
        <v>0.1</v>
      </c>
      <c r="C13" s="6" t="s">
        <v>25</v>
      </c>
      <c r="D13" s="8" t="s">
        <v>23</v>
      </c>
    </row>
    <row r="15" customFormat="false" ht="15" hidden="false" customHeight="true" outlineLevel="0" collapsed="false">
      <c r="A15" s="4" t="s">
        <v>26</v>
      </c>
      <c r="B15" s="5"/>
      <c r="C15" s="5"/>
      <c r="D15" s="5"/>
    </row>
    <row r="16" customFormat="false" ht="25.5" hidden="false" customHeight="true" outlineLevel="0" collapsed="false">
      <c r="A16" s="6" t="s">
        <v>27</v>
      </c>
      <c r="B16" s="7" t="n">
        <v>2100</v>
      </c>
      <c r="C16" s="6" t="s">
        <v>28</v>
      </c>
      <c r="D16" s="8" t="s">
        <v>29</v>
      </c>
    </row>
    <row r="17" customFormat="false" ht="25.5" hidden="false" customHeight="true" outlineLevel="0" collapsed="false">
      <c r="A17" s="6" t="s">
        <v>30</v>
      </c>
      <c r="B17" s="7" t="n">
        <v>380</v>
      </c>
      <c r="C17" s="6" t="s">
        <v>28</v>
      </c>
      <c r="D17" s="8" t="s">
        <v>31</v>
      </c>
    </row>
    <row r="18" customFormat="false" ht="25.5" hidden="false" customHeight="true" outlineLevel="0" collapsed="false">
      <c r="A18" s="6" t="s">
        <v>32</v>
      </c>
      <c r="B18" s="11" t="n">
        <v>3</v>
      </c>
      <c r="C18" s="6" t="s">
        <v>33</v>
      </c>
      <c r="D18" s="8" t="s">
        <v>34</v>
      </c>
    </row>
    <row r="19" customFormat="false" ht="25.5" hidden="false" customHeight="true" outlineLevel="0" collapsed="false">
      <c r="A19" s="6" t="s">
        <v>35</v>
      </c>
      <c r="B19" s="11" t="n">
        <v>15</v>
      </c>
      <c r="C19" s="6" t="s">
        <v>33</v>
      </c>
      <c r="D19" s="8" t="s">
        <v>34</v>
      </c>
    </row>
    <row r="20" customFormat="false" ht="25.5" hidden="false" customHeight="true" outlineLevel="0" collapsed="false">
      <c r="A20" s="6" t="s">
        <v>36</v>
      </c>
      <c r="B20" s="7" t="n">
        <v>4</v>
      </c>
      <c r="C20" s="6" t="s">
        <v>37</v>
      </c>
      <c r="D20" s="8" t="s">
        <v>38</v>
      </c>
    </row>
    <row r="21" customFormat="false" ht="25.5" hidden="false" customHeight="true" outlineLevel="0" collapsed="false">
      <c r="A21" s="6" t="s">
        <v>39</v>
      </c>
      <c r="B21" s="7" t="n">
        <v>220</v>
      </c>
      <c r="C21" s="6" t="s">
        <v>40</v>
      </c>
      <c r="D21" s="8" t="s">
        <v>41</v>
      </c>
    </row>
    <row r="23" customFormat="false" ht="15" hidden="false" customHeight="true" outlineLevel="0" collapsed="false">
      <c r="A23" s="4" t="s">
        <v>42</v>
      </c>
      <c r="B23" s="5"/>
      <c r="C23" s="5"/>
      <c r="D23" s="5"/>
    </row>
    <row r="24" customFormat="false" ht="25.5" hidden="false" customHeight="true" outlineLevel="0" collapsed="false">
      <c r="A24" s="6" t="s">
        <v>43</v>
      </c>
      <c r="B24" s="9" t="n">
        <v>9600</v>
      </c>
      <c r="C24" s="6" t="s">
        <v>44</v>
      </c>
      <c r="D24" s="8" t="s">
        <v>45</v>
      </c>
    </row>
    <row r="25" customFormat="false" ht="25.5" hidden="false" customHeight="true" outlineLevel="0" collapsed="false">
      <c r="A25" s="6" t="s">
        <v>46</v>
      </c>
      <c r="B25" s="10" t="n">
        <v>0.22</v>
      </c>
      <c r="C25" s="6" t="s">
        <v>47</v>
      </c>
      <c r="D25" s="8" t="s">
        <v>23</v>
      </c>
    </row>
    <row r="26" customFormat="false" ht="25.5" hidden="false" customHeight="true" outlineLevel="0" collapsed="false">
      <c r="A26" s="6" t="s">
        <v>48</v>
      </c>
      <c r="B26" s="9" t="n">
        <v>2400</v>
      </c>
      <c r="C26" s="6" t="s">
        <v>49</v>
      </c>
      <c r="D26" s="8" t="s">
        <v>50</v>
      </c>
    </row>
    <row r="28" customFormat="false" ht="15" hidden="false" customHeight="true" outlineLevel="0" collapsed="false">
      <c r="A28" s="4" t="s">
        <v>51</v>
      </c>
      <c r="B28" s="5"/>
      <c r="C28" s="5"/>
      <c r="D28" s="5"/>
    </row>
    <row r="29" customFormat="false" ht="25.5" hidden="false" customHeight="true" outlineLevel="0" collapsed="false">
      <c r="A29" s="6" t="s">
        <v>52</v>
      </c>
      <c r="B29" s="7" t="n">
        <v>3</v>
      </c>
      <c r="C29" s="6" t="s">
        <v>53</v>
      </c>
      <c r="D29" s="8" t="s">
        <v>54</v>
      </c>
    </row>
    <row r="30" customFormat="false" ht="25.5" hidden="false" customHeight="true" outlineLevel="0" collapsed="false">
      <c r="A30" s="6" t="s">
        <v>55</v>
      </c>
      <c r="B30" s="7" t="n">
        <v>10</v>
      </c>
      <c r="C30" s="6" t="s">
        <v>53</v>
      </c>
      <c r="D30" s="8" t="s">
        <v>23</v>
      </c>
    </row>
    <row r="31" customFormat="false" ht="25.5" hidden="false" customHeight="true" outlineLevel="0" collapsed="false">
      <c r="A31" s="6" t="s">
        <v>56</v>
      </c>
      <c r="B31" s="7" t="n">
        <v>22</v>
      </c>
      <c r="C31" s="6" t="s">
        <v>53</v>
      </c>
      <c r="D31" s="8" t="s">
        <v>23</v>
      </c>
    </row>
    <row r="32" customFormat="false" ht="25.5" hidden="false" customHeight="true" outlineLevel="0" collapsed="false">
      <c r="A32" s="6" t="s">
        <v>57</v>
      </c>
      <c r="B32" s="7" t="n">
        <v>1</v>
      </c>
      <c r="C32" s="6" t="s">
        <v>58</v>
      </c>
      <c r="D32" s="8" t="s">
        <v>59</v>
      </c>
    </row>
    <row r="33" customFormat="false" ht="25.5" hidden="false" customHeight="true" outlineLevel="0" collapsed="false">
      <c r="A33" s="6" t="s">
        <v>60</v>
      </c>
      <c r="B33" s="10" t="n">
        <v>0.1</v>
      </c>
      <c r="C33" s="6" t="s">
        <v>61</v>
      </c>
      <c r="D33" s="8" t="s">
        <v>23</v>
      </c>
    </row>
    <row r="35" customFormat="false" ht="42" hidden="false" customHeight="true" outlineLevel="0" collapsed="false">
      <c r="A35" s="12" t="s">
        <v>62</v>
      </c>
      <c r="B35" s="12"/>
      <c r="C35" s="12"/>
      <c r="D35" s="12"/>
    </row>
    <row r="1048575" customFormat="false" ht="12.8" hidden="false" customHeight="false" outlineLevel="0" collapsed="false"/>
    <row r="1048576" customFormat="false" ht="12.8" hidden="false" customHeight="false" outlineLevel="0" collapsed="false"/>
  </sheetData>
  <mergeCells count="1">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4"/>
    <col collapsed="false" customWidth="true" hidden="false" outlineLevel="0" max="3" min="3" style="1" width="18"/>
  </cols>
  <sheetData>
    <row r="1" customFormat="false" ht="17.25" hidden="false" customHeight="true" outlineLevel="0" collapsed="false">
      <c r="A1" s="2" t="s">
        <v>63</v>
      </c>
    </row>
    <row r="2" customFormat="false" ht="15" hidden="false" customHeight="true" outlineLevel="0" collapsed="false">
      <c r="A2" s="13" t="s">
        <v>64</v>
      </c>
    </row>
    <row r="4" customFormat="false" ht="15" hidden="false" customHeight="true" outlineLevel="0" collapsed="false">
      <c r="A4" s="3" t="s">
        <v>65</v>
      </c>
      <c r="B4" s="3" t="s">
        <v>66</v>
      </c>
      <c r="C4" s="3" t="s">
        <v>2</v>
      </c>
    </row>
    <row r="5" customFormat="false" ht="15" hidden="false" customHeight="true" outlineLevel="0" collapsed="false">
      <c r="A5" s="6" t="s">
        <v>67</v>
      </c>
      <c r="B5" s="14" t="s">
        <v>68</v>
      </c>
      <c r="C5" s="15" t="n">
        <f aca="false">Assumptions!$B$16</f>
        <v>2100</v>
      </c>
    </row>
    <row r="6" customFormat="false" ht="15" hidden="false" customHeight="true" outlineLevel="0" collapsed="false">
      <c r="A6" s="6" t="s">
        <v>69</v>
      </c>
      <c r="B6" s="14" t="s">
        <v>68</v>
      </c>
      <c r="C6" s="15" t="n">
        <f aca="false">Assumptions!$B$17</f>
        <v>380</v>
      </c>
    </row>
    <row r="7" customFormat="false" ht="15" hidden="false" customHeight="true" outlineLevel="0" collapsed="false">
      <c r="A7" s="6" t="s">
        <v>70</v>
      </c>
      <c r="B7" s="14" t="s">
        <v>71</v>
      </c>
      <c r="C7" s="16" t="n">
        <f aca="false">C5/1000000*Assumptions!$B$18</f>
        <v>0.0063</v>
      </c>
    </row>
    <row r="8" customFormat="false" ht="15" hidden="false" customHeight="true" outlineLevel="0" collapsed="false">
      <c r="A8" s="6" t="s">
        <v>72</v>
      </c>
      <c r="B8" s="14" t="s">
        <v>71</v>
      </c>
      <c r="C8" s="16" t="n">
        <f aca="false">C6/1000000*Assumptions!$B$19</f>
        <v>0.0057</v>
      </c>
    </row>
    <row r="9" customFormat="false" ht="15" hidden="false" customHeight="true" outlineLevel="0" collapsed="false">
      <c r="A9" s="4" t="s">
        <v>63</v>
      </c>
      <c r="B9" s="17" t="s">
        <v>73</v>
      </c>
      <c r="C9" s="18" t="n">
        <f aca="false">C7+C8</f>
        <v>0.012</v>
      </c>
    </row>
    <row r="10" customFormat="false" ht="15" hidden="false" customHeight="true" outlineLevel="0" collapsed="false">
      <c r="A10" s="19" t="s">
        <v>74</v>
      </c>
      <c r="B10" s="14" t="s">
        <v>75</v>
      </c>
      <c r="C10" s="15" t="n">
        <f aca="false">Assumptions!$B$20*Assumptions!$B$21</f>
        <v>880</v>
      </c>
    </row>
    <row r="11" customFormat="false" ht="15" hidden="false" customHeight="true" outlineLevel="0" collapsed="false">
      <c r="A11" s="4" t="s">
        <v>76</v>
      </c>
      <c r="B11" s="17" t="s">
        <v>77</v>
      </c>
      <c r="C11" s="18" t="n">
        <f aca="false">C9*C10</f>
        <v>10.56</v>
      </c>
    </row>
    <row r="13" customFormat="false" ht="33.75" hidden="false" customHeight="true" outlineLevel="0" collapsed="false">
      <c r="A13" s="12" t="s">
        <v>78</v>
      </c>
      <c r="B13" s="12"/>
      <c r="C13" s="12"/>
    </row>
  </sheetData>
  <mergeCells count="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5" min="2" style="1" width="16"/>
  </cols>
  <sheetData>
    <row r="1" customFormat="false" ht="17.25" hidden="false" customHeight="true" outlineLevel="0" collapsed="false">
      <c r="A1" s="2" t="s">
        <v>79</v>
      </c>
    </row>
    <row r="2" customFormat="false" ht="15" hidden="false" customHeight="true" outlineLevel="0" collapsed="false">
      <c r="A2" s="13" t="s">
        <v>80</v>
      </c>
    </row>
    <row r="4" customFormat="false" ht="15" hidden="false" customHeight="true" outlineLevel="0" collapsed="false">
      <c r="A4" s="3" t="s">
        <v>81</v>
      </c>
      <c r="B4" s="3" t="s">
        <v>82</v>
      </c>
      <c r="C4" s="3" t="s">
        <v>83</v>
      </c>
      <c r="D4" s="3" t="s">
        <v>84</v>
      </c>
      <c r="E4" s="3" t="s">
        <v>85</v>
      </c>
    </row>
    <row r="5" customFormat="false" ht="15" hidden="false" customHeight="true" outlineLevel="0" collapsed="false">
      <c r="A5" s="19" t="s">
        <v>86</v>
      </c>
      <c r="B5" s="20" t="n">
        <f aca="false">Assumptions!$B$29</f>
        <v>3</v>
      </c>
      <c r="C5" s="20" t="n">
        <f aca="false">Assumptions!$B$30</f>
        <v>10</v>
      </c>
      <c r="D5" s="20" t="n">
        <f aca="false">Assumptions!$B$31</f>
        <v>22</v>
      </c>
      <c r="E5" s="20" t="n">
        <f aca="false">D5</f>
        <v>22</v>
      </c>
    </row>
    <row r="6" customFormat="false" ht="15" hidden="false" customHeight="true" outlineLevel="0" collapsed="false">
      <c r="A6" s="19" t="s">
        <v>87</v>
      </c>
      <c r="B6" s="21" t="n">
        <f aca="false">B5</f>
        <v>3</v>
      </c>
      <c r="C6" s="21" t="n">
        <f aca="false">C5-B5*(1-Assumptions!$B$33)</f>
        <v>7.3</v>
      </c>
      <c r="D6" s="21" t="n">
        <f aca="false">D5-C5*(1-Assumptions!$B$33)</f>
        <v>13</v>
      </c>
      <c r="E6" s="21" t="n">
        <f aca="false">SUM(B6:D6)</f>
        <v>23.3</v>
      </c>
    </row>
    <row r="8" customFormat="false" ht="15" hidden="false" customHeight="true" outlineLevel="0" collapsed="false">
      <c r="A8" s="4" t="s">
        <v>42</v>
      </c>
      <c r="B8" s="5"/>
      <c r="C8" s="5"/>
      <c r="D8" s="5"/>
      <c r="E8" s="5"/>
    </row>
    <row r="9" customFormat="false" ht="15" hidden="false" customHeight="true" outlineLevel="0" collapsed="false">
      <c r="A9" s="6" t="s">
        <v>88</v>
      </c>
      <c r="B9" s="22" t="n">
        <f aca="false">B5*Assumptions!$B$24</f>
        <v>28800</v>
      </c>
      <c r="C9" s="22" t="n">
        <f aca="false">C5*Assumptions!$B$24</f>
        <v>96000</v>
      </c>
      <c r="D9" s="22" t="n">
        <f aca="false">D5*Assumptions!$B$24</f>
        <v>211200</v>
      </c>
      <c r="E9" s="22" t="n">
        <f aca="false">SUM(B9:D9)</f>
        <v>336000</v>
      </c>
    </row>
    <row r="10" customFormat="false" ht="15" hidden="false" customHeight="true" outlineLevel="0" collapsed="false">
      <c r="A10" s="6" t="s">
        <v>89</v>
      </c>
      <c r="B10" s="22" t="n">
        <f aca="false">B6*Assumptions!$B$32*Assumptions!$B$11*Assumptions!$B$25</f>
        <v>9240</v>
      </c>
      <c r="C10" s="22" t="n">
        <f aca="false">C6*Assumptions!$B$32*Assumptions!$B$11*Assumptions!$B$25</f>
        <v>22484</v>
      </c>
      <c r="D10" s="22" t="n">
        <f aca="false">D6*Assumptions!$B$32*Assumptions!$B$11*Assumptions!$B$25</f>
        <v>40040</v>
      </c>
      <c r="E10" s="22" t="n">
        <f aca="false">SUM(B10:D10)</f>
        <v>71764</v>
      </c>
    </row>
    <row r="11" customFormat="false" ht="15" hidden="false" customHeight="true" outlineLevel="0" collapsed="false">
      <c r="A11" s="6" t="s">
        <v>90</v>
      </c>
      <c r="B11" s="22" t="n">
        <f aca="false">B6*Assumptions!$B$26</f>
        <v>7200</v>
      </c>
      <c r="C11" s="22" t="n">
        <f aca="false">C6*Assumptions!$B$26</f>
        <v>17520</v>
      </c>
      <c r="D11" s="22" t="n">
        <f aca="false">D6*Assumptions!$B$26</f>
        <v>31200</v>
      </c>
      <c r="E11" s="22" t="n">
        <f aca="false">SUM(B11:D11)</f>
        <v>55920</v>
      </c>
    </row>
    <row r="12" customFormat="false" ht="15" hidden="false" customHeight="true" outlineLevel="0" collapsed="false">
      <c r="A12" s="4" t="s">
        <v>91</v>
      </c>
      <c r="B12" s="23" t="n">
        <f aca="false">SUM(B9:B11)</f>
        <v>45240</v>
      </c>
      <c r="C12" s="23" t="n">
        <f aca="false">SUM(C9:C11)</f>
        <v>136004</v>
      </c>
      <c r="D12" s="23" t="n">
        <f aca="false">SUM(D9:D11)</f>
        <v>282440</v>
      </c>
      <c r="E12" s="23" t="n">
        <f aca="false">SUM(E9:E11)</f>
        <v>463684</v>
      </c>
    </row>
    <row r="14" customFormat="false" ht="15" hidden="false" customHeight="true" outlineLevel="0" collapsed="false">
      <c r="A14" s="4" t="s">
        <v>92</v>
      </c>
      <c r="B14" s="5"/>
      <c r="C14" s="5"/>
      <c r="D14" s="5"/>
      <c r="E14" s="5"/>
    </row>
    <row r="15" customFormat="false" ht="15" hidden="false" customHeight="true" outlineLevel="0" collapsed="false">
      <c r="A15" s="6" t="s">
        <v>93</v>
      </c>
      <c r="B15" s="22" t="n">
        <f aca="false">Assumptions!$B$5*Assumptions!$B$6</f>
        <v>31200</v>
      </c>
      <c r="C15" s="22" t="s">
        <v>94</v>
      </c>
      <c r="D15" s="22" t="s">
        <v>94</v>
      </c>
      <c r="E15" s="22" t="n">
        <f aca="false">SUM(B15:D15)</f>
        <v>31200</v>
      </c>
    </row>
    <row r="16" customFormat="false" ht="15" hidden="false" customHeight="true" outlineLevel="0" collapsed="false">
      <c r="A16" s="6" t="s">
        <v>95</v>
      </c>
      <c r="B16" s="22" t="s">
        <v>94</v>
      </c>
      <c r="C16" s="22" t="n">
        <f aca="false">Assumptions!$B$5*Assumptions!$B$6*Assumptions!$B$8</f>
        <v>5616</v>
      </c>
      <c r="D16" s="22" t="n">
        <f aca="false">Assumptions!$B$5*Assumptions!$B$6*Assumptions!$B$8</f>
        <v>5616</v>
      </c>
      <c r="E16" s="22" t="n">
        <f aca="false">SUM(B16:D16)</f>
        <v>11232</v>
      </c>
    </row>
    <row r="17" customFormat="false" ht="15" hidden="false" customHeight="true" outlineLevel="0" collapsed="false">
      <c r="A17" s="6" t="s">
        <v>96</v>
      </c>
      <c r="B17" s="22" t="n">
        <f aca="false">B6*Assumptions!$B$32*Assumptions!$B$11</f>
        <v>42000</v>
      </c>
      <c r="C17" s="22" t="n">
        <f aca="false">C6*Assumptions!$B$32*Assumptions!$B$11</f>
        <v>102200</v>
      </c>
      <c r="D17" s="22" t="n">
        <f aca="false">D6*Assumptions!$B$32*Assumptions!$B$11</f>
        <v>182000</v>
      </c>
      <c r="E17" s="22" t="n">
        <f aca="false">SUM(B17:D17)</f>
        <v>326200</v>
      </c>
    </row>
    <row r="18" customFormat="false" ht="15" hidden="false" customHeight="true" outlineLevel="0" collapsed="false">
      <c r="A18" s="6" t="s">
        <v>24</v>
      </c>
      <c r="B18" s="22" t="n">
        <f aca="false">B5*Assumptions!$B$32*Assumptions!$B$11*Assumptions!$B$13</f>
        <v>4200</v>
      </c>
      <c r="C18" s="22" t="n">
        <f aca="false">C5*Assumptions!$B$32*Assumptions!$B$11*Assumptions!$B$13</f>
        <v>14000</v>
      </c>
      <c r="D18" s="22" t="n">
        <f aca="false">D5*Assumptions!$B$32*Assumptions!$B$11*Assumptions!$B$13</f>
        <v>30800</v>
      </c>
      <c r="E18" s="22" t="n">
        <f aca="false">SUM(B18:D18)</f>
        <v>49000</v>
      </c>
    </row>
    <row r="19" customFormat="false" ht="15" hidden="false" customHeight="true" outlineLevel="0" collapsed="false">
      <c r="A19" s="6" t="s">
        <v>97</v>
      </c>
      <c r="B19" s="22" t="n">
        <f aca="false">B6*Assumptions!$B$7*Assumptions!$B$6</f>
        <v>4320</v>
      </c>
      <c r="C19" s="22" t="n">
        <f aca="false">C6*Assumptions!$B$7*Assumptions!$B$6</f>
        <v>10512</v>
      </c>
      <c r="D19" s="22" t="n">
        <f aca="false">D6*Assumptions!$B$7*Assumptions!$B$6</f>
        <v>18720</v>
      </c>
      <c r="E19" s="22" t="n">
        <f aca="false">SUM(B19:D19)</f>
        <v>33552</v>
      </c>
    </row>
    <row r="20" customFormat="false" ht="15" hidden="false" customHeight="true" outlineLevel="0" collapsed="false">
      <c r="A20" s="6" t="s">
        <v>98</v>
      </c>
      <c r="B20" s="22" t="n">
        <f aca="false">B5*'Per-mission cost'!$C$11</f>
        <v>31.68</v>
      </c>
      <c r="C20" s="22" t="n">
        <f aca="false">C5*'Per-mission cost'!$C$11</f>
        <v>105.6</v>
      </c>
      <c r="D20" s="22" t="n">
        <f aca="false">D5*'Per-mission cost'!$C$11</f>
        <v>232.32</v>
      </c>
      <c r="E20" s="22" t="n">
        <f aca="false">SUM(B20:D20)</f>
        <v>369.6</v>
      </c>
    </row>
    <row r="21" customFormat="false" ht="15" hidden="false" customHeight="true" outlineLevel="0" collapsed="false">
      <c r="A21" s="4" t="s">
        <v>99</v>
      </c>
      <c r="B21" s="23" t="n">
        <f aca="false">SUM(B15:B20)</f>
        <v>81751.68</v>
      </c>
      <c r="C21" s="23" t="n">
        <f aca="false">SUM(C15:C20)</f>
        <v>132433.6</v>
      </c>
      <c r="D21" s="23" t="n">
        <f aca="false">SUM(D15:D20)</f>
        <v>237368.32</v>
      </c>
      <c r="E21" s="23" t="n">
        <f aca="false">SUM(E15:E20)</f>
        <v>451553.6</v>
      </c>
    </row>
    <row r="23" customFormat="false" ht="15" hidden="false" customHeight="true" outlineLevel="0" collapsed="false">
      <c r="A23" s="19" t="s">
        <v>100</v>
      </c>
      <c r="B23" s="24" t="n">
        <f aca="false">B12-B21</f>
        <v>-36511.68</v>
      </c>
      <c r="C23" s="24" t="n">
        <f aca="false">C12-C21</f>
        <v>3570.39999999999</v>
      </c>
      <c r="D23" s="24" t="n">
        <f aca="false">D12-D21</f>
        <v>45071.68</v>
      </c>
      <c r="E23" s="24" t="n">
        <f aca="false">E12-E21</f>
        <v>12130.4</v>
      </c>
    </row>
    <row r="24" customFormat="false" ht="15" hidden="false" customHeight="true" outlineLevel="0" collapsed="false">
      <c r="A24" s="4" t="s">
        <v>101</v>
      </c>
      <c r="B24" s="23" t="n">
        <f aca="false">B23</f>
        <v>-36511.68</v>
      </c>
      <c r="C24" s="23" t="n">
        <f aca="false">B24+C23</f>
        <v>-32941.28</v>
      </c>
      <c r="D24" s="23" t="n">
        <f aca="false">C24+D23</f>
        <v>12130.4</v>
      </c>
    </row>
    <row r="26" customFormat="false" ht="15" hidden="false" customHeight="true" outlineLevel="0" collapsed="false">
      <c r="A26" s="19" t="s">
        <v>102</v>
      </c>
      <c r="B26" s="25" t="str">
        <f aca="false">IF(D24&gt;0,"Within 3 years — cumulative net turns positive","Not within 3 years at these assumptions")</f>
        <v>Within 3 years — cumulative net turns positive</v>
      </c>
      <c r="C26" s="25"/>
      <c r="D26" s="25"/>
      <c r="E26" s="25"/>
    </row>
    <row r="28" customFormat="false" ht="55.5" hidden="false" customHeight="true" outlineLevel="0" collapsed="false">
      <c r="A28" s="12" t="s">
        <v>103</v>
      </c>
      <c r="B28" s="12"/>
      <c r="C28" s="12"/>
      <c r="D28" s="12"/>
      <c r="E28" s="12"/>
    </row>
  </sheetData>
  <mergeCells count="2">
    <mergeCell ref="B26:E26"/>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2026-09-07T10:00:34Z</dcterms:created>
  <dc:creator>openpyxl</dc:creator>
  <dc:description/>
  <dc:language>en-US</dc:language>
  <cp:lastModifiedBy/>
  <dcterms:modified xsi:type="dcterms:W3CDTF">2026-09-07T11:35:28Z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